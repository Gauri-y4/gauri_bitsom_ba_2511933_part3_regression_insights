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vsat\OneDrive\Desktop\part3_regression_insights\Analysis\"/>
    </mc:Choice>
  </mc:AlternateContent>
  <xr:revisionPtr revIDLastSave="0" documentId="13_ncr:1_{D9482C96-984B-4E9A-85A0-1F94F9BB4DB9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Original_Data" sheetId="1" r:id="rId1"/>
    <sheet name="Cleaned_Data" sheetId="2" r:id="rId2"/>
    <sheet name="Dummy_Variables" sheetId="3" r:id="rId3"/>
    <sheet name="Simple_Regression" sheetId="4" r:id="rId4"/>
    <sheet name="Multiple_Regression" sheetId="5" r:id="rId5"/>
    <sheet name="Predictions_Residuals" sheetId="6" r:id="rId6"/>
    <sheet name="Model_Comparison" sheetId="7" r:id="rId7"/>
  </sheets>
  <definedNames>
    <definedName name="_xlnm._FilterDatabase" localSheetId="0" hidden="1">Original_Data!$A$1:$N$1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8" i="6" l="1"/>
  <c r="G308" i="6" s="1"/>
  <c r="F313" i="6"/>
  <c r="G313" i="6" s="1"/>
  <c r="F318" i="6"/>
  <c r="G318" i="6" s="1"/>
  <c r="F284" i="6"/>
  <c r="G284" i="6" s="1"/>
  <c r="F236" i="6"/>
  <c r="G236" i="6" s="1"/>
  <c r="F120" i="6"/>
  <c r="G120" i="6" s="1"/>
  <c r="F23" i="6"/>
  <c r="G23" i="6" s="1"/>
  <c r="F32" i="6"/>
  <c r="G32" i="6" s="1"/>
  <c r="F239" i="6"/>
  <c r="G239" i="6" s="1"/>
  <c r="F269" i="6"/>
  <c r="G269" i="6" s="1"/>
  <c r="F54" i="6"/>
  <c r="G54" i="6" s="1"/>
  <c r="F69" i="6"/>
  <c r="G69" i="6" s="1"/>
  <c r="F287" i="6"/>
  <c r="G287" i="6" s="1"/>
  <c r="F219" i="6"/>
  <c r="G219" i="6" s="1"/>
  <c r="F97" i="6"/>
  <c r="G97" i="6" s="1"/>
  <c r="F228" i="6"/>
  <c r="G228" i="6" s="1"/>
  <c r="F243" i="6"/>
  <c r="G243" i="6" s="1"/>
  <c r="F231" i="6"/>
  <c r="G231" i="6" s="1"/>
  <c r="F208" i="6"/>
  <c r="G208" i="6" s="1"/>
  <c r="F315" i="6"/>
  <c r="G315" i="6" s="1"/>
  <c r="F203" i="6"/>
  <c r="G203" i="6" s="1"/>
  <c r="F102" i="6"/>
  <c r="G102" i="6" s="1"/>
  <c r="F156" i="6"/>
  <c r="G156" i="6" s="1"/>
  <c r="F197" i="6"/>
  <c r="G197" i="6" s="1"/>
  <c r="F311" i="6"/>
  <c r="G311" i="6" s="1"/>
  <c r="F149" i="6"/>
  <c r="G149" i="6" s="1"/>
  <c r="F107" i="6"/>
  <c r="G107" i="6" s="1"/>
  <c r="F310" i="6"/>
  <c r="G310" i="6" s="1"/>
  <c r="F188" i="6"/>
  <c r="G188" i="6" s="1"/>
  <c r="F238" i="6"/>
  <c r="G238" i="6" s="1"/>
  <c r="F309" i="6"/>
  <c r="G309" i="6" s="1"/>
  <c r="F319" i="6"/>
  <c r="G319" i="6" s="1"/>
  <c r="F289" i="6"/>
  <c r="G289" i="6" s="1"/>
  <c r="F194" i="6"/>
  <c r="G194" i="6" s="1"/>
  <c r="F256" i="6"/>
  <c r="G256" i="6" s="1"/>
  <c r="F33" i="6"/>
  <c r="G33" i="6" s="1"/>
  <c r="F253" i="6"/>
  <c r="G253" i="6" s="1"/>
  <c r="F172" i="6"/>
  <c r="G172" i="6" s="1"/>
  <c r="F132" i="6"/>
  <c r="G132" i="6" s="1"/>
  <c r="F130" i="6"/>
  <c r="G130" i="6" s="1"/>
  <c r="F110" i="6"/>
  <c r="G110" i="6" s="1"/>
  <c r="F19" i="6"/>
  <c r="G19" i="6" s="1"/>
  <c r="F113" i="6"/>
  <c r="G113" i="6" s="1"/>
  <c r="F320" i="6"/>
  <c r="G320" i="6" s="1"/>
  <c r="F276" i="6"/>
  <c r="G276" i="6" s="1"/>
  <c r="F82" i="6"/>
  <c r="G82" i="6" s="1"/>
  <c r="F134" i="6"/>
  <c r="G134" i="6" s="1"/>
  <c r="F234" i="6"/>
  <c r="G234" i="6" s="1"/>
  <c r="F106" i="6"/>
  <c r="G106" i="6" s="1"/>
  <c r="F85" i="6"/>
  <c r="G85" i="6" s="1"/>
  <c r="F51" i="6"/>
  <c r="G51" i="6" s="1"/>
  <c r="F314" i="6"/>
  <c r="G314" i="6" s="1"/>
  <c r="F62" i="6"/>
  <c r="G62" i="6" s="1"/>
  <c r="F47" i="6"/>
  <c r="G47" i="6" s="1"/>
  <c r="F259" i="6"/>
  <c r="G259" i="6" s="1"/>
  <c r="F232" i="6"/>
  <c r="G232" i="6" s="1"/>
  <c r="F257" i="6"/>
  <c r="G257" i="6" s="1"/>
  <c r="F298" i="6"/>
  <c r="G298" i="6" s="1"/>
  <c r="F300" i="6"/>
  <c r="G300" i="6" s="1"/>
  <c r="F22" i="6"/>
  <c r="G22" i="6" s="1"/>
  <c r="F39" i="6"/>
  <c r="G39" i="6" s="1"/>
  <c r="F196" i="6"/>
  <c r="G196" i="6" s="1"/>
  <c r="F42" i="6"/>
  <c r="G42" i="6" s="1"/>
  <c r="F227" i="6"/>
  <c r="G227" i="6" s="1"/>
  <c r="F222" i="6"/>
  <c r="G222" i="6" s="1"/>
  <c r="F321" i="6"/>
  <c r="G321" i="6" s="1"/>
  <c r="F128" i="6"/>
  <c r="G128" i="6" s="1"/>
  <c r="F28" i="6"/>
  <c r="G28" i="6" s="1"/>
  <c r="F249" i="6"/>
  <c r="G249" i="6" s="1"/>
  <c r="F150" i="6"/>
  <c r="G150" i="6" s="1"/>
  <c r="F71" i="6"/>
  <c r="G71" i="6" s="1"/>
  <c r="F167" i="6"/>
  <c r="G167" i="6" s="1"/>
  <c r="F299" i="6"/>
  <c r="G299" i="6" s="1"/>
  <c r="F21" i="6"/>
  <c r="G21" i="6" s="1"/>
  <c r="F279" i="6"/>
  <c r="G279" i="6" s="1"/>
  <c r="F189" i="6"/>
  <c r="G189" i="6" s="1"/>
  <c r="F58" i="6"/>
  <c r="G58" i="6" s="1"/>
  <c r="F38" i="6"/>
  <c r="G38" i="6" s="1"/>
  <c r="F240" i="6"/>
  <c r="G240" i="6" s="1"/>
  <c r="F200" i="6"/>
  <c r="G200" i="6" s="1"/>
  <c r="F26" i="6"/>
  <c r="G26" i="6" s="1"/>
  <c r="F6" i="6"/>
  <c r="G6" i="6" s="1"/>
  <c r="F81" i="6"/>
  <c r="G81" i="6" s="1"/>
  <c r="F96" i="6"/>
  <c r="G96" i="6" s="1"/>
  <c r="F244" i="6"/>
  <c r="G244" i="6" s="1"/>
  <c r="F151" i="6"/>
  <c r="G151" i="6" s="1"/>
  <c r="F164" i="6"/>
  <c r="G164" i="6" s="1"/>
  <c r="F43" i="6"/>
  <c r="G43" i="6" s="1"/>
  <c r="F317" i="6"/>
  <c r="G317" i="6" s="1"/>
  <c r="F61" i="6"/>
  <c r="G61" i="6" s="1"/>
  <c r="F56" i="6"/>
  <c r="G56" i="6" s="1"/>
  <c r="F205" i="6"/>
  <c r="G205" i="6" s="1"/>
  <c r="F37" i="6"/>
  <c r="G37" i="6" s="1"/>
  <c r="F24" i="6"/>
  <c r="G24" i="6" s="1"/>
  <c r="F218" i="6"/>
  <c r="G218" i="6" s="1"/>
  <c r="F144" i="6"/>
  <c r="G144" i="6" s="1"/>
  <c r="F10" i="6"/>
  <c r="G10" i="6" s="1"/>
  <c r="F139" i="6"/>
  <c r="G139" i="6" s="1"/>
  <c r="F76" i="6"/>
  <c r="G76" i="6" s="1"/>
  <c r="F46" i="6"/>
  <c r="G46" i="6" s="1"/>
  <c r="F252" i="6"/>
  <c r="G252" i="6" s="1"/>
  <c r="F70" i="6"/>
  <c r="G70" i="6" s="1"/>
  <c r="F3" i="6"/>
  <c r="G3" i="6" s="1"/>
  <c r="F66" i="6"/>
  <c r="G66" i="6" s="1"/>
  <c r="F160" i="6"/>
  <c r="G160" i="6" s="1"/>
  <c r="F16" i="6"/>
  <c r="G16" i="6" s="1"/>
  <c r="F152" i="6"/>
  <c r="G152" i="6" s="1"/>
  <c r="F64" i="6"/>
  <c r="G64" i="6" s="1"/>
  <c r="F125" i="6"/>
  <c r="G125" i="6" s="1"/>
  <c r="F214" i="6"/>
  <c r="G214" i="6" s="1"/>
  <c r="F2" i="6"/>
  <c r="G2" i="6" s="1"/>
  <c r="F49" i="6"/>
  <c r="G49" i="6" s="1"/>
  <c r="F44" i="6"/>
  <c r="G44" i="6" s="1"/>
  <c r="F270" i="6"/>
  <c r="G270" i="6" s="1"/>
  <c r="F241" i="6"/>
  <c r="G241" i="6" s="1"/>
  <c r="F157" i="6"/>
  <c r="G157" i="6" s="1"/>
  <c r="F8" i="6"/>
  <c r="G8" i="6" s="1"/>
  <c r="F296" i="6"/>
  <c r="G296" i="6" s="1"/>
  <c r="F184" i="6"/>
  <c r="G184" i="6" s="1"/>
  <c r="F278" i="6"/>
  <c r="G278" i="6" s="1"/>
  <c r="F68" i="6"/>
  <c r="G68" i="6" s="1"/>
  <c r="F250" i="6"/>
  <c r="G250" i="6" s="1"/>
  <c r="F294" i="6"/>
  <c r="G294" i="6" s="1"/>
  <c r="F4" i="6"/>
  <c r="G4" i="6" s="1"/>
  <c r="F175" i="6"/>
  <c r="G175" i="6" s="1"/>
  <c r="F29" i="6"/>
  <c r="G29" i="6" s="1"/>
  <c r="F143" i="6"/>
  <c r="G143" i="6" s="1"/>
  <c r="F94" i="6"/>
  <c r="G94" i="6" s="1"/>
  <c r="F180" i="6"/>
  <c r="G180" i="6" s="1"/>
  <c r="F295" i="6"/>
  <c r="G295" i="6" s="1"/>
  <c r="F209" i="6"/>
  <c r="G209" i="6" s="1"/>
  <c r="F280" i="6"/>
  <c r="G280" i="6" s="1"/>
  <c r="F285" i="6"/>
  <c r="G285" i="6" s="1"/>
  <c r="F176" i="6"/>
  <c r="G176" i="6" s="1"/>
  <c r="F221" i="6"/>
  <c r="G221" i="6" s="1"/>
  <c r="F302" i="6"/>
  <c r="G302" i="6" s="1"/>
  <c r="F78" i="6"/>
  <c r="G78" i="6" s="1"/>
  <c r="F31" i="6"/>
  <c r="G31" i="6" s="1"/>
  <c r="F117" i="6"/>
  <c r="G117" i="6" s="1"/>
  <c r="F53" i="6"/>
  <c r="G53" i="6" s="1"/>
  <c r="F87" i="6"/>
  <c r="G87" i="6" s="1"/>
  <c r="F48" i="6"/>
  <c r="G48" i="6" s="1"/>
  <c r="F95" i="6"/>
  <c r="G95" i="6" s="1"/>
  <c r="F277" i="6"/>
  <c r="G277" i="6" s="1"/>
  <c r="F260" i="6"/>
  <c r="G260" i="6" s="1"/>
  <c r="F207" i="6"/>
  <c r="G207" i="6" s="1"/>
  <c r="F190" i="6"/>
  <c r="G190" i="6" s="1"/>
  <c r="F223" i="6"/>
  <c r="G223" i="6" s="1"/>
  <c r="F105" i="6"/>
  <c r="G105" i="6" s="1"/>
  <c r="F57" i="6"/>
  <c r="G57" i="6" s="1"/>
  <c r="F77" i="6"/>
  <c r="G77" i="6" s="1"/>
  <c r="F226" i="6"/>
  <c r="G226" i="6" s="1"/>
  <c r="F133" i="6"/>
  <c r="G133" i="6" s="1"/>
  <c r="F271" i="6"/>
  <c r="G271" i="6" s="1"/>
  <c r="F174" i="6"/>
  <c r="G174" i="6" s="1"/>
  <c r="F166" i="6"/>
  <c r="G166" i="6" s="1"/>
  <c r="F246" i="6"/>
  <c r="G246" i="6" s="1"/>
  <c r="F20" i="6"/>
  <c r="G20" i="6" s="1"/>
  <c r="F34" i="6"/>
  <c r="G34" i="6" s="1"/>
  <c r="F274" i="6"/>
  <c r="G274" i="6" s="1"/>
  <c r="F9" i="6"/>
  <c r="G9" i="6" s="1"/>
  <c r="F181" i="6"/>
  <c r="G181" i="6" s="1"/>
  <c r="F155" i="6"/>
  <c r="G155" i="6" s="1"/>
  <c r="F41" i="6"/>
  <c r="G41" i="6" s="1"/>
  <c r="F217" i="6"/>
  <c r="G217" i="6" s="1"/>
  <c r="F168" i="6"/>
  <c r="G168" i="6" s="1"/>
  <c r="F108" i="6"/>
  <c r="G108" i="6" s="1"/>
  <c r="F258" i="6"/>
  <c r="G258" i="6" s="1"/>
  <c r="F306" i="6"/>
  <c r="G306" i="6" s="1"/>
  <c r="F83" i="6"/>
  <c r="G83" i="6" s="1"/>
  <c r="F225" i="6"/>
  <c r="G225" i="6" s="1"/>
  <c r="F161" i="6"/>
  <c r="G161" i="6" s="1"/>
  <c r="F267" i="6"/>
  <c r="G267" i="6" s="1"/>
  <c r="F247" i="6"/>
  <c r="G247" i="6" s="1"/>
  <c r="F242" i="6"/>
  <c r="G242" i="6" s="1"/>
  <c r="F127" i="6"/>
  <c r="G127" i="6" s="1"/>
  <c r="F36" i="6"/>
  <c r="G36" i="6" s="1"/>
  <c r="F93" i="6"/>
  <c r="G93" i="6" s="1"/>
  <c r="F40" i="6"/>
  <c r="G40" i="6" s="1"/>
  <c r="F141" i="6"/>
  <c r="G141" i="6" s="1"/>
  <c r="F159" i="6"/>
  <c r="G159" i="6" s="1"/>
  <c r="F163" i="6"/>
  <c r="G163" i="6" s="1"/>
  <c r="F185" i="6"/>
  <c r="G185" i="6" s="1"/>
  <c r="F215" i="6"/>
  <c r="G215" i="6" s="1"/>
  <c r="F98" i="6"/>
  <c r="G98" i="6" s="1"/>
  <c r="F25" i="6"/>
  <c r="G25" i="6" s="1"/>
  <c r="F131" i="6"/>
  <c r="G131" i="6" s="1"/>
  <c r="F65" i="6"/>
  <c r="G65" i="6" s="1"/>
  <c r="F137" i="6"/>
  <c r="G137" i="6" s="1"/>
  <c r="F237" i="6"/>
  <c r="G237" i="6" s="1"/>
  <c r="F282" i="6"/>
  <c r="G282" i="6" s="1"/>
  <c r="F281" i="6"/>
  <c r="G281" i="6" s="1"/>
  <c r="F212" i="6"/>
  <c r="G212" i="6" s="1"/>
  <c r="F171" i="6"/>
  <c r="G171" i="6" s="1"/>
  <c r="F312" i="6"/>
  <c r="G312" i="6" s="1"/>
  <c r="F55" i="6"/>
  <c r="G55" i="6" s="1"/>
  <c r="F254" i="6"/>
  <c r="G254" i="6" s="1"/>
  <c r="F263" i="6"/>
  <c r="G263" i="6" s="1"/>
  <c r="F13" i="6"/>
  <c r="G13" i="6" s="1"/>
  <c r="F251" i="6"/>
  <c r="G251" i="6" s="1"/>
  <c r="F15" i="6"/>
  <c r="G15" i="6" s="1"/>
  <c r="F290" i="6"/>
  <c r="G290" i="6" s="1"/>
  <c r="F272" i="6"/>
  <c r="G272" i="6" s="1"/>
  <c r="F201" i="6"/>
  <c r="G201" i="6" s="1"/>
  <c r="F35" i="6"/>
  <c r="G35" i="6" s="1"/>
  <c r="F291" i="6"/>
  <c r="G291" i="6" s="1"/>
  <c r="F304" i="6"/>
  <c r="G304" i="6" s="1"/>
  <c r="F135" i="6"/>
  <c r="G135" i="6" s="1"/>
  <c r="F307" i="6"/>
  <c r="G307" i="6" s="1"/>
  <c r="F213" i="6"/>
  <c r="G213" i="6" s="1"/>
  <c r="F204" i="6"/>
  <c r="G204" i="6" s="1"/>
  <c r="F67" i="6"/>
  <c r="G67" i="6" s="1"/>
  <c r="F60" i="6"/>
  <c r="G60" i="6" s="1"/>
  <c r="F178" i="6"/>
  <c r="G178" i="6" s="1"/>
  <c r="F121" i="6"/>
  <c r="G121" i="6" s="1"/>
  <c r="F129" i="6"/>
  <c r="G129" i="6" s="1"/>
  <c r="F230" i="6"/>
  <c r="G230" i="6" s="1"/>
  <c r="F79" i="6"/>
  <c r="G79" i="6" s="1"/>
  <c r="F199" i="6"/>
  <c r="G199" i="6" s="1"/>
  <c r="F138" i="6"/>
  <c r="G138" i="6" s="1"/>
  <c r="F183" i="6"/>
  <c r="G183" i="6" s="1"/>
  <c r="F192" i="6"/>
  <c r="G192" i="6" s="1"/>
  <c r="F261" i="6"/>
  <c r="G261" i="6" s="1"/>
  <c r="F84" i="6"/>
  <c r="G84" i="6" s="1"/>
  <c r="F136" i="6"/>
  <c r="G136" i="6" s="1"/>
  <c r="F245" i="6"/>
  <c r="G245" i="6" s="1"/>
  <c r="F90" i="6"/>
  <c r="G90" i="6" s="1"/>
  <c r="F286" i="6"/>
  <c r="G286" i="6" s="1"/>
  <c r="F45" i="6"/>
  <c r="G45" i="6" s="1"/>
  <c r="F266" i="6"/>
  <c r="G266" i="6" s="1"/>
  <c r="F100" i="6"/>
  <c r="G100" i="6" s="1"/>
  <c r="F52" i="6"/>
  <c r="G52" i="6" s="1"/>
  <c r="F14" i="6"/>
  <c r="G14" i="6" s="1"/>
  <c r="F122" i="6"/>
  <c r="G122" i="6" s="1"/>
  <c r="F148" i="6"/>
  <c r="G148" i="6" s="1"/>
  <c r="F292" i="6"/>
  <c r="G292" i="6" s="1"/>
  <c r="F182" i="6"/>
  <c r="G182" i="6" s="1"/>
  <c r="F173" i="6"/>
  <c r="G173" i="6" s="1"/>
  <c r="F114" i="6"/>
  <c r="G114" i="6" s="1"/>
  <c r="F116" i="6"/>
  <c r="G116" i="6" s="1"/>
  <c r="F109" i="6"/>
  <c r="G109" i="6" s="1"/>
  <c r="F165" i="6"/>
  <c r="G165" i="6" s="1"/>
  <c r="F186" i="6"/>
  <c r="G186" i="6" s="1"/>
  <c r="F123" i="6"/>
  <c r="G123" i="6" s="1"/>
  <c r="F145" i="6"/>
  <c r="G145" i="6" s="1"/>
  <c r="F262" i="6"/>
  <c r="G262" i="6" s="1"/>
  <c r="F220" i="6"/>
  <c r="G220" i="6" s="1"/>
  <c r="F119" i="6"/>
  <c r="G119" i="6" s="1"/>
  <c r="F195" i="6"/>
  <c r="G195" i="6" s="1"/>
  <c r="F170" i="6"/>
  <c r="G170" i="6" s="1"/>
  <c r="F101" i="6"/>
  <c r="G101" i="6" s="1"/>
  <c r="F191" i="6"/>
  <c r="G191" i="6" s="1"/>
  <c r="F18" i="6"/>
  <c r="G18" i="6" s="1"/>
  <c r="F89" i="6"/>
  <c r="G89" i="6" s="1"/>
  <c r="F268" i="6"/>
  <c r="G268" i="6" s="1"/>
  <c r="F5" i="6"/>
  <c r="G5" i="6" s="1"/>
  <c r="F72" i="6"/>
  <c r="G72" i="6" s="1"/>
  <c r="F115" i="6"/>
  <c r="G115" i="6" s="1"/>
  <c r="F27" i="6"/>
  <c r="G27" i="6" s="1"/>
  <c r="F124" i="6"/>
  <c r="G124" i="6" s="1"/>
  <c r="F142" i="6"/>
  <c r="G142" i="6" s="1"/>
  <c r="F17" i="6"/>
  <c r="G17" i="6" s="1"/>
  <c r="F92" i="6"/>
  <c r="G92" i="6" s="1"/>
  <c r="F229" i="6"/>
  <c r="G229" i="6" s="1"/>
  <c r="F88" i="6"/>
  <c r="G88" i="6" s="1"/>
  <c r="F103" i="6"/>
  <c r="G103" i="6" s="1"/>
  <c r="F73" i="6"/>
  <c r="G73" i="6" s="1"/>
  <c r="F305" i="6"/>
  <c r="G305" i="6" s="1"/>
  <c r="F50" i="6"/>
  <c r="G50" i="6" s="1"/>
  <c r="F179" i="6"/>
  <c r="G179" i="6" s="1"/>
  <c r="F303" i="6"/>
  <c r="G303" i="6" s="1"/>
  <c r="F126" i="6"/>
  <c r="G126" i="6" s="1"/>
  <c r="F63" i="6"/>
  <c r="G63" i="6" s="1"/>
  <c r="F198" i="6"/>
  <c r="G198" i="6" s="1"/>
  <c r="F12" i="6"/>
  <c r="G12" i="6" s="1"/>
  <c r="F301" i="6"/>
  <c r="G301" i="6" s="1"/>
  <c r="F75" i="6"/>
  <c r="G75" i="6" s="1"/>
  <c r="F162" i="6"/>
  <c r="G162" i="6" s="1"/>
  <c r="F216" i="6"/>
  <c r="G216" i="6" s="1"/>
  <c r="F264" i="6"/>
  <c r="G264" i="6" s="1"/>
  <c r="F235" i="6"/>
  <c r="G235" i="6" s="1"/>
  <c r="F80" i="6"/>
  <c r="G80" i="6" s="1"/>
  <c r="F146" i="6"/>
  <c r="G146" i="6" s="1"/>
  <c r="F187" i="6"/>
  <c r="G187" i="6" s="1"/>
  <c r="F177" i="6"/>
  <c r="G177" i="6" s="1"/>
  <c r="F154" i="6"/>
  <c r="G154" i="6" s="1"/>
  <c r="F206" i="6"/>
  <c r="G206" i="6" s="1"/>
  <c r="F111" i="6"/>
  <c r="G111" i="6" s="1"/>
  <c r="F265" i="6"/>
  <c r="G265" i="6" s="1"/>
  <c r="F7" i="6"/>
  <c r="G7" i="6" s="1"/>
  <c r="F224" i="6"/>
  <c r="G224" i="6" s="1"/>
  <c r="F248" i="6"/>
  <c r="G248" i="6" s="1"/>
  <c r="F118" i="6"/>
  <c r="G118" i="6" s="1"/>
  <c r="F140" i="6"/>
  <c r="G140" i="6" s="1"/>
  <c r="F86" i="6"/>
  <c r="G86" i="6" s="1"/>
  <c r="F169" i="6"/>
  <c r="G169" i="6" s="1"/>
  <c r="F11" i="6"/>
  <c r="G11" i="6" s="1"/>
  <c r="F233" i="6"/>
  <c r="G233" i="6" s="1"/>
  <c r="F297" i="6"/>
  <c r="G297" i="6" s="1"/>
  <c r="F210" i="6"/>
  <c r="G210" i="6" s="1"/>
  <c r="F147" i="6"/>
  <c r="G147" i="6" s="1"/>
  <c r="F153" i="6"/>
  <c r="G153" i="6" s="1"/>
  <c r="F30" i="6"/>
  <c r="G30" i="6" s="1"/>
  <c r="F74" i="6"/>
  <c r="G74" i="6" s="1"/>
  <c r="F316" i="6"/>
  <c r="G316" i="6" s="1"/>
  <c r="F59" i="6"/>
  <c r="G59" i="6" s="1"/>
  <c r="F288" i="6"/>
  <c r="G288" i="6" s="1"/>
  <c r="F202" i="6"/>
  <c r="G202" i="6" s="1"/>
  <c r="F255" i="6"/>
  <c r="G255" i="6" s="1"/>
  <c r="F193" i="6"/>
  <c r="G193" i="6" s="1"/>
  <c r="F91" i="6"/>
  <c r="G91" i="6" s="1"/>
  <c r="F104" i="6"/>
  <c r="G104" i="6" s="1"/>
  <c r="F273" i="6"/>
  <c r="G273" i="6" s="1"/>
  <c r="F112" i="6"/>
  <c r="G112" i="6" s="1"/>
  <c r="F99" i="6"/>
  <c r="G99" i="6" s="1"/>
  <c r="F293" i="6"/>
  <c r="G293" i="6" s="1"/>
  <c r="F158" i="6"/>
  <c r="G158" i="6" s="1"/>
  <c r="F211" i="6"/>
  <c r="G211" i="6" s="1"/>
  <c r="F275" i="6"/>
  <c r="G275" i="6" s="1"/>
  <c r="F283" i="6"/>
  <c r="G283" i="6" s="1"/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2" i="3"/>
</calcChain>
</file>

<file path=xl/sharedStrings.xml><?xml version="1.0" encoding="utf-8"?>
<sst xmlns="http://schemas.openxmlformats.org/spreadsheetml/2006/main" count="3039" uniqueCount="146">
  <si>
    <t>Dependent Variable</t>
  </si>
  <si>
    <t>Marketing Spend</t>
  </si>
  <si>
    <t>Footfall</t>
  </si>
  <si>
    <t>Monthly Sales</t>
  </si>
  <si>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</si>
  <si>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</si>
  <si>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</si>
  <si>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</si>
  <si>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</si>
  <si>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</si>
  <si>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</si>
  <si>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</si>
  <si>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</si>
  <si>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</si>
  <si>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</si>
  <si>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</si>
  <si>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</si>
  <si>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</si>
  <si>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</si>
  <si>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</si>
  <si>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</si>
  <si>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</si>
  <si>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</si>
  <si>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</si>
  <si>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</si>
  <si>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</si>
  <si>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</si>
  <si>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</si>
  <si>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</si>
  <si>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</si>
  <si>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</si>
  <si>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</si>
  <si>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</si>
  <si>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</si>
  <si>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</si>
  <si>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</si>
  <si>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</si>
  <si>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</si>
  <si>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</si>
  <si>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</si>
  <si>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</si>
  <si>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</si>
  <si>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</si>
  <si>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</si>
  <si>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</si>
  <si>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</si>
  <si>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</si>
  <si>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</si>
  <si>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</si>
  <si>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</si>
  <si>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</si>
  <si>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</si>
  <si>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</si>
  <si>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</si>
  <si>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</si>
  <si>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</si>
  <si>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</si>
  <si>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</si>
  <si>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</si>
  <si>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</si>
  <si>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</si>
  <si>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</si>
  <si>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</si>
  <si>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</si>
  <si>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</si>
  <si>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</si>
  <si>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</si>
  <si>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</si>
  <si>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</si>
  <si>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</si>
  <si>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</si>
  <si>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</si>
  <si>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</si>
  <si>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</si>
  <si>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</si>
  <si>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</si>
  <si>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</si>
  <si>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</si>
  <si>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</si>
  <si>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</si>
  <si>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</si>
  <si>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</si>
  <si>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</si>
  <si>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</si>
  <si>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</si>
  <si>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</si>
  <si>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</si>
  <si>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</si>
  <si>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</si>
  <si>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</si>
  <si>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</si>
  <si>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</si>
  <si>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</si>
  <si>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</si>
  <si>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</si>
  <si>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</si>
  <si>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</si>
  <si>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</si>
  <si>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</si>
  <si>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</si>
  <si>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</si>
  <si>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</si>
  <si>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</si>
  <si>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</si>
  <si>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</si>
  <si>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</si>
  <si>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Airport_Dummy</t>
  </si>
  <si>
    <t>HighStreet_Dummy</t>
  </si>
  <si>
    <t>Mall_Dummy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</si>
  <si>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</si>
  <si>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</si>
  <si>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</si>
  <si>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</si>
  <si>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</si>
  <si>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</si>
  <si>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</si>
  <si>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</si>
  <si>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</si>
  <si>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</si>
  <si>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</si>
  <si>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</si>
  <si>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</si>
  <si>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</si>
  <si>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</si>
  <si>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</si>
  <si>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</si>
  <si>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</si>
  <si>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</si>
  <si>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</si>
  <si>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</si>
  <si>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</si>
  <si>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</si>
  <si>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</si>
  <si>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Predicted_Sales</t>
  </si>
  <si>
    <t>Model</t>
  </si>
  <si>
    <t>Independent Variable(s)</t>
  </si>
  <si>
    <t>R²</t>
  </si>
  <si>
    <t>Significant Variables</t>
  </si>
  <si>
    <t>Business Usefulness</t>
  </si>
  <si>
    <t>Simple Regression 1</t>
  </si>
  <si>
    <t>Moderate predictor of monthly sales</t>
  </si>
  <si>
    <t>Simple Regression 2</t>
  </si>
  <si>
    <t>Strong predictor of monthly sales</t>
  </si>
  <si>
    <t>Multiple Regression</t>
  </si>
  <si>
    <t>Marketing Spend, Footfall, Inventory Availability, Airport Dummy</t>
  </si>
  <si>
    <t>Best overall model for predicting 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</si>
</sst>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8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activeCell="I7" sqref="I7"/>
    </sheetView>
  </sheetViews>
  <sheetFormatPr defaultRowHeight="14.5"/>
  <cols>
    <col min="4" max="4" width="11.7265625" customWidth="1"/>
    <col min="5" max="5" width="11.26953125" customWidth="1"/>
    <col min="7" max="7" width="13.36328125" customWidth="1"/>
    <col min="8" max="8" width="11.1796875" customWidth="1"/>
    <col min="9" max="9" width="24.90625" customWidth="1"/>
    <col min="10" max="10" width="12.453125" customWidth="1"/>
    <col min="12" max="12" width="9.6328125" customWidth="1"/>
  </cols>
  <sheetData>
    <row r="1" spans="1:14" ht="5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>
      <c r="A2" t="s">
        <v>18</v>
      </c>
      <c r="B2" s="2">
        <v>45658</v>
      </c>
      <c r="C2" t="s">
        <v>19</v>
      </c>
      <c r="D2" t="s">
        <v>20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18</v>
      </c>
      <c r="B3" s="2">
        <v>45689</v>
      </c>
      <c r="C3" t="s">
        <v>19</v>
      </c>
      <c r="D3" t="s">
        <v>20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18</v>
      </c>
      <c r="B4" s="2">
        <v>45717</v>
      </c>
      <c r="C4" t="s">
        <v>19</v>
      </c>
      <c r="D4" t="s">
        <v>20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18</v>
      </c>
      <c r="B5" s="2">
        <v>45748</v>
      </c>
      <c r="C5" t="s">
        <v>19</v>
      </c>
      <c r="D5" t="s">
        <v>20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21</v>
      </c>
      <c r="B6" s="2">
        <v>45658</v>
      </c>
      <c r="C6" t="s">
        <v>19</v>
      </c>
      <c r="D6" t="s">
        <v>22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21</v>
      </c>
      <c r="B7" s="2">
        <v>45689</v>
      </c>
      <c r="C7" t="s">
        <v>19</v>
      </c>
      <c r="D7" t="s">
        <v>22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21</v>
      </c>
      <c r="B8" s="2">
        <v>45717</v>
      </c>
      <c r="C8" t="s">
        <v>19</v>
      </c>
      <c r="D8" t="s">
        <v>22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21</v>
      </c>
      <c r="B9" s="2">
        <v>45748</v>
      </c>
      <c r="C9" t="s">
        <v>19</v>
      </c>
      <c r="D9" t="s">
        <v>22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23</v>
      </c>
      <c r="B10" s="2">
        <v>45658</v>
      </c>
      <c r="C10" t="s">
        <v>24</v>
      </c>
      <c r="D10" t="s">
        <v>25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23</v>
      </c>
      <c r="B11" s="2">
        <v>45689</v>
      </c>
      <c r="C11" t="s">
        <v>24</v>
      </c>
      <c r="D11" t="s">
        <v>25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23</v>
      </c>
      <c r="B12" s="2">
        <v>45717</v>
      </c>
      <c r="C12" t="s">
        <v>24</v>
      </c>
      <c r="D12" t="s">
        <v>25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23</v>
      </c>
      <c r="B13" s="2">
        <v>45748</v>
      </c>
      <c r="C13" t="s">
        <v>24</v>
      </c>
      <c r="D13" t="s">
        <v>25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26</v>
      </c>
      <c r="B14" s="2">
        <v>45658</v>
      </c>
      <c r="C14" t="s">
        <v>19</v>
      </c>
      <c r="D14" t="s">
        <v>20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26</v>
      </c>
      <c r="B15" s="2">
        <v>45689</v>
      </c>
      <c r="C15" t="s">
        <v>19</v>
      </c>
      <c r="D15" t="s">
        <v>20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26</v>
      </c>
      <c r="B16" s="2">
        <v>45717</v>
      </c>
      <c r="C16" t="s">
        <v>19</v>
      </c>
      <c r="D16" t="s">
        <v>20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26</v>
      </c>
      <c r="B17" s="2">
        <v>45748</v>
      </c>
      <c r="C17" t="s">
        <v>19</v>
      </c>
      <c r="D17" t="s">
        <v>20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27</v>
      </c>
      <c r="B18" s="2">
        <v>45658</v>
      </c>
      <c r="C18" t="s">
        <v>28</v>
      </c>
      <c r="D18" t="s">
        <v>20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27</v>
      </c>
      <c r="B19" s="2">
        <v>45689</v>
      </c>
      <c r="C19" t="s">
        <v>28</v>
      </c>
      <c r="D19" t="s">
        <v>20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27</v>
      </c>
      <c r="B20" s="2">
        <v>45717</v>
      </c>
      <c r="C20" t="s">
        <v>28</v>
      </c>
      <c r="D20" t="s">
        <v>20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27</v>
      </c>
      <c r="B21" s="2">
        <v>45748</v>
      </c>
      <c r="C21" t="s">
        <v>28</v>
      </c>
      <c r="D21" t="s">
        <v>20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29</v>
      </c>
      <c r="B22" s="2">
        <v>45658</v>
      </c>
      <c r="C22" t="s">
        <v>24</v>
      </c>
      <c r="D22" t="s">
        <v>20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29</v>
      </c>
      <c r="B23" s="2">
        <v>45689</v>
      </c>
      <c r="C23" t="s">
        <v>24</v>
      </c>
      <c r="D23" t="s">
        <v>20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29</v>
      </c>
      <c r="B24" s="2">
        <v>45717</v>
      </c>
      <c r="C24" t="s">
        <v>24</v>
      </c>
      <c r="D24" t="s">
        <v>20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29</v>
      </c>
      <c r="B25" s="2">
        <v>45748</v>
      </c>
      <c r="C25" t="s">
        <v>24</v>
      </c>
      <c r="D25" t="s">
        <v>20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30</v>
      </c>
      <c r="B26" s="2">
        <v>45658</v>
      </c>
      <c r="C26" t="s">
        <v>31</v>
      </c>
      <c r="D26" t="s">
        <v>32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30</v>
      </c>
      <c r="B27" s="2">
        <v>45689</v>
      </c>
      <c r="C27" t="s">
        <v>31</v>
      </c>
      <c r="D27" t="s">
        <v>32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30</v>
      </c>
      <c r="B28" s="2">
        <v>45717</v>
      </c>
      <c r="C28" t="s">
        <v>31</v>
      </c>
      <c r="D28" t="s">
        <v>32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30</v>
      </c>
      <c r="B29" s="2">
        <v>45748</v>
      </c>
      <c r="C29" t="s">
        <v>31</v>
      </c>
      <c r="D29" t="s">
        <v>32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33</v>
      </c>
      <c r="B30" s="2">
        <v>45658</v>
      </c>
      <c r="C30" t="s">
        <v>19</v>
      </c>
      <c r="D30" t="s">
        <v>20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33</v>
      </c>
      <c r="B31" s="2">
        <v>45689</v>
      </c>
      <c r="C31" t="s">
        <v>19</v>
      </c>
      <c r="D31" t="s">
        <v>20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33</v>
      </c>
      <c r="B32" s="2">
        <v>45717</v>
      </c>
      <c r="C32" t="s">
        <v>19</v>
      </c>
      <c r="D32" t="s">
        <v>20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33</v>
      </c>
      <c r="B33" s="2">
        <v>45748</v>
      </c>
      <c r="C33" t="s">
        <v>19</v>
      </c>
      <c r="D33" t="s">
        <v>20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34</v>
      </c>
      <c r="B34" s="2">
        <v>45658</v>
      </c>
      <c r="C34" t="s">
        <v>24</v>
      </c>
      <c r="D34" t="s">
        <v>20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34</v>
      </c>
      <c r="B35" s="2">
        <v>45689</v>
      </c>
      <c r="C35" t="s">
        <v>24</v>
      </c>
      <c r="D35" t="s">
        <v>20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34</v>
      </c>
      <c r="B36" s="2">
        <v>45717</v>
      </c>
      <c r="C36" t="s">
        <v>24</v>
      </c>
      <c r="D36" t="s">
        <v>20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34</v>
      </c>
      <c r="B37" s="2">
        <v>45748</v>
      </c>
      <c r="C37" t="s">
        <v>24</v>
      </c>
      <c r="D37" t="s">
        <v>20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35</v>
      </c>
      <c r="B38" s="2">
        <v>45658</v>
      </c>
      <c r="C38" t="s">
        <v>24</v>
      </c>
      <c r="D38" t="s">
        <v>32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35</v>
      </c>
      <c r="B39" s="2">
        <v>45689</v>
      </c>
      <c r="C39" t="s">
        <v>24</v>
      </c>
      <c r="D39" t="s">
        <v>32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35</v>
      </c>
      <c r="B40" s="2">
        <v>45717</v>
      </c>
      <c r="C40" t="s">
        <v>24</v>
      </c>
      <c r="D40" t="s">
        <v>32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35</v>
      </c>
      <c r="B41" s="2">
        <v>45748</v>
      </c>
      <c r="C41" t="s">
        <v>24</v>
      </c>
      <c r="D41" t="s">
        <v>32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36</v>
      </c>
      <c r="B42" s="2">
        <v>45658</v>
      </c>
      <c r="C42" t="s">
        <v>19</v>
      </c>
      <c r="D42" t="s">
        <v>32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36</v>
      </c>
      <c r="B43" s="2">
        <v>45689</v>
      </c>
      <c r="C43" t="s">
        <v>19</v>
      </c>
      <c r="D43" t="s">
        <v>32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36</v>
      </c>
      <c r="B44" s="2">
        <v>45717</v>
      </c>
      <c r="C44" t="s">
        <v>19</v>
      </c>
      <c r="D44" t="s">
        <v>32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36</v>
      </c>
      <c r="B45" s="2">
        <v>45748</v>
      </c>
      <c r="C45" t="s">
        <v>19</v>
      </c>
      <c r="D45" t="s">
        <v>32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37</v>
      </c>
      <c r="B46" s="2">
        <v>45658</v>
      </c>
      <c r="C46" t="s">
        <v>31</v>
      </c>
      <c r="D46" t="s">
        <v>20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37</v>
      </c>
      <c r="B47" s="2">
        <v>45689</v>
      </c>
      <c r="C47" t="s">
        <v>31</v>
      </c>
      <c r="D47" t="s">
        <v>20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37</v>
      </c>
      <c r="B48" s="2">
        <v>45717</v>
      </c>
      <c r="C48" t="s">
        <v>31</v>
      </c>
      <c r="D48" t="s">
        <v>20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37</v>
      </c>
      <c r="B49" s="2">
        <v>45748</v>
      </c>
      <c r="C49" t="s">
        <v>31</v>
      </c>
      <c r="D49" t="s">
        <v>20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38</v>
      </c>
      <c r="B50" s="2">
        <v>45658</v>
      </c>
      <c r="C50" t="s">
        <v>24</v>
      </c>
      <c r="D50" t="s">
        <v>32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38</v>
      </c>
      <c r="B51" s="2">
        <v>45689</v>
      </c>
      <c r="C51" t="s">
        <v>24</v>
      </c>
      <c r="D51" t="s">
        <v>32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38</v>
      </c>
      <c r="B52" s="2">
        <v>45717</v>
      </c>
      <c r="C52" t="s">
        <v>24</v>
      </c>
      <c r="D52" t="s">
        <v>32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38</v>
      </c>
      <c r="B53" s="2">
        <v>45748</v>
      </c>
      <c r="C53" t="s">
        <v>24</v>
      </c>
      <c r="D53" t="s">
        <v>32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39</v>
      </c>
      <c r="B54" s="2">
        <v>45658</v>
      </c>
      <c r="C54" t="s">
        <v>31</v>
      </c>
      <c r="D54" t="s">
        <v>22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39</v>
      </c>
      <c r="B55" s="2">
        <v>45689</v>
      </c>
      <c r="C55" t="s">
        <v>31</v>
      </c>
      <c r="D55" t="s">
        <v>22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39</v>
      </c>
      <c r="B56" s="2">
        <v>45717</v>
      </c>
      <c r="C56" t="s">
        <v>31</v>
      </c>
      <c r="D56" t="s">
        <v>22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39</v>
      </c>
      <c r="B57" s="2">
        <v>45748</v>
      </c>
      <c r="C57" t="s">
        <v>31</v>
      </c>
      <c r="D57" t="s">
        <v>22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40</v>
      </c>
      <c r="B58" s="2">
        <v>45658</v>
      </c>
      <c r="C58" t="s">
        <v>19</v>
      </c>
      <c r="D58" t="s">
        <v>25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40</v>
      </c>
      <c r="B59" s="2">
        <v>45689</v>
      </c>
      <c r="C59" t="s">
        <v>19</v>
      </c>
      <c r="D59" t="s">
        <v>25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40</v>
      </c>
      <c r="B60" s="2">
        <v>45717</v>
      </c>
      <c r="C60" t="s">
        <v>19</v>
      </c>
      <c r="D60" t="s">
        <v>25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40</v>
      </c>
      <c r="B61" s="2">
        <v>45748</v>
      </c>
      <c r="C61" t="s">
        <v>19</v>
      </c>
      <c r="D61" t="s">
        <v>25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41</v>
      </c>
      <c r="B62" s="2">
        <v>45658</v>
      </c>
      <c r="C62" t="s">
        <v>28</v>
      </c>
      <c r="D62" t="s">
        <v>22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41</v>
      </c>
      <c r="B63" s="2">
        <v>45689</v>
      </c>
      <c r="C63" t="s">
        <v>28</v>
      </c>
      <c r="D63" t="s">
        <v>22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41</v>
      </c>
      <c r="B64" s="2">
        <v>45717</v>
      </c>
      <c r="C64" t="s">
        <v>28</v>
      </c>
      <c r="D64" t="s">
        <v>22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41</v>
      </c>
      <c r="B65" s="2">
        <v>45748</v>
      </c>
      <c r="C65" t="s">
        <v>28</v>
      </c>
      <c r="D65" t="s">
        <v>22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42</v>
      </c>
      <c r="B66" s="2">
        <v>45658</v>
      </c>
      <c r="C66" t="s">
        <v>31</v>
      </c>
      <c r="D66" t="s">
        <v>22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42</v>
      </c>
      <c r="B67" s="2">
        <v>45689</v>
      </c>
      <c r="C67" t="s">
        <v>31</v>
      </c>
      <c r="D67" t="s">
        <v>22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42</v>
      </c>
      <c r="B68" s="2">
        <v>45717</v>
      </c>
      <c r="C68" t="s">
        <v>31</v>
      </c>
      <c r="D68" t="s">
        <v>22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42</v>
      </c>
      <c r="B69" s="2">
        <v>45748</v>
      </c>
      <c r="C69" t="s">
        <v>31</v>
      </c>
      <c r="D69" t="s">
        <v>22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43</v>
      </c>
      <c r="B70" s="2">
        <v>45658</v>
      </c>
      <c r="C70" t="s">
        <v>19</v>
      </c>
      <c r="D70" t="s">
        <v>22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43</v>
      </c>
      <c r="B71" s="2">
        <v>45689</v>
      </c>
      <c r="C71" t="s">
        <v>19</v>
      </c>
      <c r="D71" t="s">
        <v>22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43</v>
      </c>
      <c r="B72" s="2">
        <v>45717</v>
      </c>
      <c r="C72" t="s">
        <v>19</v>
      </c>
      <c r="D72" t="s">
        <v>22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43</v>
      </c>
      <c r="B73" s="2">
        <v>45748</v>
      </c>
      <c r="C73" t="s">
        <v>19</v>
      </c>
      <c r="D73" t="s">
        <v>22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44</v>
      </c>
      <c r="B74" s="2">
        <v>45658</v>
      </c>
      <c r="C74" t="s">
        <v>19</v>
      </c>
      <c r="D74" t="s">
        <v>20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44</v>
      </c>
      <c r="B75" s="2">
        <v>45689</v>
      </c>
      <c r="C75" t="s">
        <v>19</v>
      </c>
      <c r="D75" t="s">
        <v>20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44</v>
      </c>
      <c r="B76" s="2">
        <v>45717</v>
      </c>
      <c r="C76" t="s">
        <v>19</v>
      </c>
      <c r="D76" t="s">
        <v>20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44</v>
      </c>
      <c r="B77" s="2">
        <v>45748</v>
      </c>
      <c r="C77" t="s">
        <v>19</v>
      </c>
      <c r="D77" t="s">
        <v>20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45</v>
      </c>
      <c r="B78" s="2">
        <v>45658</v>
      </c>
      <c r="C78" t="s">
        <v>28</v>
      </c>
      <c r="D78" t="s">
        <v>22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45</v>
      </c>
      <c r="B79" s="2">
        <v>45689</v>
      </c>
      <c r="C79" t="s">
        <v>28</v>
      </c>
      <c r="D79" t="s">
        <v>22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45</v>
      </c>
      <c r="B80" s="2">
        <v>45717</v>
      </c>
      <c r="C80" t="s">
        <v>28</v>
      </c>
      <c r="D80" t="s">
        <v>22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45</v>
      </c>
      <c r="B81" s="2">
        <v>45748</v>
      </c>
      <c r="C81" t="s">
        <v>28</v>
      </c>
      <c r="D81" t="s">
        <v>22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46</v>
      </c>
      <c r="B82" s="2">
        <v>45658</v>
      </c>
      <c r="C82" t="s">
        <v>31</v>
      </c>
      <c r="D82" t="s">
        <v>32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46</v>
      </c>
      <c r="B83" s="2">
        <v>45689</v>
      </c>
      <c r="C83" t="s">
        <v>31</v>
      </c>
      <c r="D83" t="s">
        <v>32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46</v>
      </c>
      <c r="B84" s="2">
        <v>45717</v>
      </c>
      <c r="C84" t="s">
        <v>31</v>
      </c>
      <c r="D84" t="s">
        <v>32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46</v>
      </c>
      <c r="B85" s="2">
        <v>45748</v>
      </c>
      <c r="C85" t="s">
        <v>31</v>
      </c>
      <c r="D85" t="s">
        <v>32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47</v>
      </c>
      <c r="B86" s="2">
        <v>45658</v>
      </c>
      <c r="C86" t="s">
        <v>31</v>
      </c>
      <c r="D86" t="s">
        <v>22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47</v>
      </c>
      <c r="B87" s="2">
        <v>45689</v>
      </c>
      <c r="C87" t="s">
        <v>31</v>
      </c>
      <c r="D87" t="s">
        <v>22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47</v>
      </c>
      <c r="B88" s="2">
        <v>45717</v>
      </c>
      <c r="C88" t="s">
        <v>31</v>
      </c>
      <c r="D88" t="s">
        <v>22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47</v>
      </c>
      <c r="B89" s="2">
        <v>45748</v>
      </c>
      <c r="C89" t="s">
        <v>31</v>
      </c>
      <c r="D89" t="s">
        <v>22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48</v>
      </c>
      <c r="B90" s="2">
        <v>45658</v>
      </c>
      <c r="C90" t="s">
        <v>28</v>
      </c>
      <c r="D90" t="s">
        <v>32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48</v>
      </c>
      <c r="B91" s="2">
        <v>45689</v>
      </c>
      <c r="C91" t="s">
        <v>28</v>
      </c>
      <c r="D91" t="s">
        <v>32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48</v>
      </c>
      <c r="B92" s="2">
        <v>45717</v>
      </c>
      <c r="C92" t="s">
        <v>28</v>
      </c>
      <c r="D92" t="s">
        <v>32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48</v>
      </c>
      <c r="B93" s="2">
        <v>45748</v>
      </c>
      <c r="C93" t="s">
        <v>28</v>
      </c>
      <c r="D93" t="s">
        <v>32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49</v>
      </c>
      <c r="B94" s="2">
        <v>45658</v>
      </c>
      <c r="C94" t="s">
        <v>31</v>
      </c>
      <c r="D94" t="s">
        <v>20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49</v>
      </c>
      <c r="B95" s="2">
        <v>45689</v>
      </c>
      <c r="C95" t="s">
        <v>31</v>
      </c>
      <c r="D95" t="s">
        <v>20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49</v>
      </c>
      <c r="B96" s="2">
        <v>45717</v>
      </c>
      <c r="C96" t="s">
        <v>31</v>
      </c>
      <c r="D96" t="s">
        <v>20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49</v>
      </c>
      <c r="B97" s="2">
        <v>45748</v>
      </c>
      <c r="C97" t="s">
        <v>31</v>
      </c>
      <c r="D97" t="s">
        <v>20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50</v>
      </c>
      <c r="B98" s="2">
        <v>45658</v>
      </c>
      <c r="C98" t="s">
        <v>31</v>
      </c>
      <c r="D98" t="s">
        <v>32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50</v>
      </c>
      <c r="B99" s="2">
        <v>45689</v>
      </c>
      <c r="C99" t="s">
        <v>31</v>
      </c>
      <c r="D99" t="s">
        <v>32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50</v>
      </c>
      <c r="B100" s="2">
        <v>45717</v>
      </c>
      <c r="C100" t="s">
        <v>31</v>
      </c>
      <c r="D100" t="s">
        <v>32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50</v>
      </c>
      <c r="B101" s="2">
        <v>45748</v>
      </c>
      <c r="C101" t="s">
        <v>31</v>
      </c>
      <c r="D101" t="s">
        <v>32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51</v>
      </c>
      <c r="B102" s="2">
        <v>45658</v>
      </c>
      <c r="C102" t="s">
        <v>19</v>
      </c>
      <c r="D102" t="s">
        <v>32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51</v>
      </c>
      <c r="B103" s="2">
        <v>45689</v>
      </c>
      <c r="C103" t="s">
        <v>19</v>
      </c>
      <c r="D103" t="s">
        <v>32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51</v>
      </c>
      <c r="B104" s="2">
        <v>45717</v>
      </c>
      <c r="C104" t="s">
        <v>19</v>
      </c>
      <c r="D104" t="s">
        <v>32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51</v>
      </c>
      <c r="B105" s="2">
        <v>45748</v>
      </c>
      <c r="C105" t="s">
        <v>19</v>
      </c>
      <c r="D105" t="s">
        <v>32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52</v>
      </c>
      <c r="B106" s="2">
        <v>45658</v>
      </c>
      <c r="C106" t="s">
        <v>31</v>
      </c>
      <c r="D106" t="s">
        <v>22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52</v>
      </c>
      <c r="B107" s="2">
        <v>45689</v>
      </c>
      <c r="C107" t="s">
        <v>31</v>
      </c>
      <c r="D107" t="s">
        <v>22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52</v>
      </c>
      <c r="B108" s="2">
        <v>45717</v>
      </c>
      <c r="C108" t="s">
        <v>31</v>
      </c>
      <c r="D108" t="s">
        <v>22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52</v>
      </c>
      <c r="B109" s="2">
        <v>45748</v>
      </c>
      <c r="C109" t="s">
        <v>31</v>
      </c>
      <c r="D109" t="s">
        <v>22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53</v>
      </c>
      <c r="B110" s="2">
        <v>45658</v>
      </c>
      <c r="C110" t="s">
        <v>19</v>
      </c>
      <c r="D110" t="s">
        <v>32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53</v>
      </c>
      <c r="B111" s="2">
        <v>45689</v>
      </c>
      <c r="C111" t="s">
        <v>19</v>
      </c>
      <c r="D111" t="s">
        <v>32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53</v>
      </c>
      <c r="B112" s="2">
        <v>45717</v>
      </c>
      <c r="C112" t="s">
        <v>19</v>
      </c>
      <c r="D112" t="s">
        <v>32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53</v>
      </c>
      <c r="B113" s="2">
        <v>45748</v>
      </c>
      <c r="C113" t="s">
        <v>19</v>
      </c>
      <c r="D113" t="s">
        <v>32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54</v>
      </c>
      <c r="B114" s="2">
        <v>45658</v>
      </c>
      <c r="C114" t="s">
        <v>31</v>
      </c>
      <c r="D114" t="s">
        <v>32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54</v>
      </c>
      <c r="B115" s="2">
        <v>45689</v>
      </c>
      <c r="C115" t="s">
        <v>31</v>
      </c>
      <c r="D115" t="s">
        <v>32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54</v>
      </c>
      <c r="B116" s="2">
        <v>45717</v>
      </c>
      <c r="C116" t="s">
        <v>31</v>
      </c>
      <c r="D116" t="s">
        <v>32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54</v>
      </c>
      <c r="B117" s="2">
        <v>45748</v>
      </c>
      <c r="C117" t="s">
        <v>31</v>
      </c>
      <c r="D117" t="s">
        <v>32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55</v>
      </c>
      <c r="B118" s="2">
        <v>45658</v>
      </c>
      <c r="C118" t="s">
        <v>31</v>
      </c>
      <c r="D118" t="s">
        <v>20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55</v>
      </c>
      <c r="B119" s="2">
        <v>45689</v>
      </c>
      <c r="C119" t="s">
        <v>31</v>
      </c>
      <c r="D119" t="s">
        <v>20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55</v>
      </c>
      <c r="B120" s="2">
        <v>45717</v>
      </c>
      <c r="C120" t="s">
        <v>31</v>
      </c>
      <c r="D120" t="s">
        <v>20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55</v>
      </c>
      <c r="B121" s="2">
        <v>45748</v>
      </c>
      <c r="C121" t="s">
        <v>31</v>
      </c>
      <c r="D121" t="s">
        <v>20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56</v>
      </c>
      <c r="B122" s="2">
        <v>45658</v>
      </c>
      <c r="C122" t="s">
        <v>24</v>
      </c>
      <c r="D122" t="s">
        <v>22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56</v>
      </c>
      <c r="B123" s="2">
        <v>45689</v>
      </c>
      <c r="C123" t="s">
        <v>24</v>
      </c>
      <c r="D123" t="s">
        <v>22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56</v>
      </c>
      <c r="B124" s="2">
        <v>45717</v>
      </c>
      <c r="C124" t="s">
        <v>24</v>
      </c>
      <c r="D124" t="s">
        <v>22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56</v>
      </c>
      <c r="B125" s="2">
        <v>45748</v>
      </c>
      <c r="C125" t="s">
        <v>24</v>
      </c>
      <c r="D125" t="s">
        <v>22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57</v>
      </c>
      <c r="B126" s="2">
        <v>45658</v>
      </c>
      <c r="C126" t="s">
        <v>28</v>
      </c>
      <c r="D126" t="s">
        <v>22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57</v>
      </c>
      <c r="B127" s="2">
        <v>45689</v>
      </c>
      <c r="C127" t="s">
        <v>28</v>
      </c>
      <c r="D127" t="s">
        <v>22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57</v>
      </c>
      <c r="B128" s="2">
        <v>45717</v>
      </c>
      <c r="C128" t="s">
        <v>28</v>
      </c>
      <c r="D128" t="s">
        <v>22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57</v>
      </c>
      <c r="B129" s="2">
        <v>45748</v>
      </c>
      <c r="C129" t="s">
        <v>28</v>
      </c>
      <c r="D129" t="s">
        <v>22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58</v>
      </c>
      <c r="B130" s="2">
        <v>45658</v>
      </c>
      <c r="C130" t="s">
        <v>19</v>
      </c>
      <c r="D130" t="s">
        <v>22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58</v>
      </c>
      <c r="B131" s="2">
        <v>45689</v>
      </c>
      <c r="C131" t="s">
        <v>19</v>
      </c>
      <c r="D131" t="s">
        <v>22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58</v>
      </c>
      <c r="B132" s="2">
        <v>45717</v>
      </c>
      <c r="C132" t="s">
        <v>19</v>
      </c>
      <c r="D132" t="s">
        <v>22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58</v>
      </c>
      <c r="B133" s="2">
        <v>45748</v>
      </c>
      <c r="C133" t="s">
        <v>19</v>
      </c>
      <c r="D133" t="s">
        <v>22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59</v>
      </c>
      <c r="B134" s="2">
        <v>45658</v>
      </c>
      <c r="C134" t="s">
        <v>24</v>
      </c>
      <c r="D134" t="s">
        <v>22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59</v>
      </c>
      <c r="B135" s="2">
        <v>45689</v>
      </c>
      <c r="C135" t="s">
        <v>24</v>
      </c>
      <c r="D135" t="s">
        <v>22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59</v>
      </c>
      <c r="B136" s="2">
        <v>45717</v>
      </c>
      <c r="C136" t="s">
        <v>24</v>
      </c>
      <c r="D136" t="s">
        <v>22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59</v>
      </c>
      <c r="B137" s="2">
        <v>45748</v>
      </c>
      <c r="C137" t="s">
        <v>24</v>
      </c>
      <c r="D137" t="s">
        <v>22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60</v>
      </c>
      <c r="B138" s="2">
        <v>45658</v>
      </c>
      <c r="C138" t="s">
        <v>28</v>
      </c>
      <c r="D138" t="s">
        <v>20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60</v>
      </c>
      <c r="B139" s="2">
        <v>45689</v>
      </c>
      <c r="C139" t="s">
        <v>28</v>
      </c>
      <c r="D139" t="s">
        <v>20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60</v>
      </c>
      <c r="B140" s="2">
        <v>45717</v>
      </c>
      <c r="C140" t="s">
        <v>28</v>
      </c>
      <c r="D140" t="s">
        <v>20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60</v>
      </c>
      <c r="B141" s="2">
        <v>45748</v>
      </c>
      <c r="C141" t="s">
        <v>28</v>
      </c>
      <c r="D141" t="s">
        <v>20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61</v>
      </c>
      <c r="B142" s="2">
        <v>45658</v>
      </c>
      <c r="C142" t="s">
        <v>31</v>
      </c>
      <c r="D142" t="s">
        <v>22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61</v>
      </c>
      <c r="B143" s="2">
        <v>45689</v>
      </c>
      <c r="C143" t="s">
        <v>31</v>
      </c>
      <c r="D143" t="s">
        <v>22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61</v>
      </c>
      <c r="B144" s="2">
        <v>45717</v>
      </c>
      <c r="C144" t="s">
        <v>31</v>
      </c>
      <c r="D144" t="s">
        <v>22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61</v>
      </c>
      <c r="B145" s="2">
        <v>45748</v>
      </c>
      <c r="C145" t="s">
        <v>31</v>
      </c>
      <c r="D145" t="s">
        <v>22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62</v>
      </c>
      <c r="B146" s="2">
        <v>45658</v>
      </c>
      <c r="C146" t="s">
        <v>24</v>
      </c>
      <c r="D146" t="s">
        <v>20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62</v>
      </c>
      <c r="B147" s="2">
        <v>45689</v>
      </c>
      <c r="C147" t="s">
        <v>24</v>
      </c>
      <c r="D147" t="s">
        <v>20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62</v>
      </c>
      <c r="B148" s="2">
        <v>45717</v>
      </c>
      <c r="C148" t="s">
        <v>24</v>
      </c>
      <c r="D148" t="s">
        <v>20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62</v>
      </c>
      <c r="B149" s="2">
        <v>45748</v>
      </c>
      <c r="C149" t="s">
        <v>24</v>
      </c>
      <c r="D149" t="s">
        <v>20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63</v>
      </c>
      <c r="B150" s="2">
        <v>45658</v>
      </c>
      <c r="C150" t="s">
        <v>28</v>
      </c>
      <c r="D150" t="s">
        <v>32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63</v>
      </c>
      <c r="B151" s="2">
        <v>45689</v>
      </c>
      <c r="C151" t="s">
        <v>28</v>
      </c>
      <c r="D151" t="s">
        <v>32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63</v>
      </c>
      <c r="B152" s="2">
        <v>45717</v>
      </c>
      <c r="C152" t="s">
        <v>28</v>
      </c>
      <c r="D152" t="s">
        <v>32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63</v>
      </c>
      <c r="B153" s="2">
        <v>45748</v>
      </c>
      <c r="C153" t="s">
        <v>28</v>
      </c>
      <c r="D153" t="s">
        <v>32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64</v>
      </c>
      <c r="B154" s="2">
        <v>45658</v>
      </c>
      <c r="C154" t="s">
        <v>19</v>
      </c>
      <c r="D154" t="s">
        <v>22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64</v>
      </c>
      <c r="B155" s="2">
        <v>45689</v>
      </c>
      <c r="C155" t="s">
        <v>19</v>
      </c>
      <c r="D155" t="s">
        <v>22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64</v>
      </c>
      <c r="B156" s="2">
        <v>45717</v>
      </c>
      <c r="C156" t="s">
        <v>19</v>
      </c>
      <c r="D156" t="s">
        <v>22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64</v>
      </c>
      <c r="B157" s="2">
        <v>45748</v>
      </c>
      <c r="C157" t="s">
        <v>19</v>
      </c>
      <c r="D157" t="s">
        <v>22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65</v>
      </c>
      <c r="B158" s="2">
        <v>45658</v>
      </c>
      <c r="C158" t="s">
        <v>24</v>
      </c>
      <c r="D158" t="s">
        <v>32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65</v>
      </c>
      <c r="B159" s="2">
        <v>45689</v>
      </c>
      <c r="C159" t="s">
        <v>24</v>
      </c>
      <c r="D159" t="s">
        <v>32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65</v>
      </c>
      <c r="B160" s="2">
        <v>45717</v>
      </c>
      <c r="C160" t="s">
        <v>24</v>
      </c>
      <c r="D160" t="s">
        <v>32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65</v>
      </c>
      <c r="B161" s="2">
        <v>45748</v>
      </c>
      <c r="C161" t="s">
        <v>24</v>
      </c>
      <c r="D161" t="s">
        <v>32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66</v>
      </c>
      <c r="B162" s="2">
        <v>45658</v>
      </c>
      <c r="C162" t="s">
        <v>28</v>
      </c>
      <c r="D162" t="s">
        <v>22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66</v>
      </c>
      <c r="B163" s="2">
        <v>45689</v>
      </c>
      <c r="C163" t="s">
        <v>28</v>
      </c>
      <c r="D163" t="s">
        <v>22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66</v>
      </c>
      <c r="B164" s="2">
        <v>45717</v>
      </c>
      <c r="C164" t="s">
        <v>28</v>
      </c>
      <c r="D164" t="s">
        <v>22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66</v>
      </c>
      <c r="B165" s="2">
        <v>45748</v>
      </c>
      <c r="C165" t="s">
        <v>28</v>
      </c>
      <c r="D165" t="s">
        <v>22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67</v>
      </c>
      <c r="B166" s="2">
        <v>45658</v>
      </c>
      <c r="C166" t="s">
        <v>24</v>
      </c>
      <c r="D166" t="s">
        <v>32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67</v>
      </c>
      <c r="B167" s="2">
        <v>45689</v>
      </c>
      <c r="C167" t="s">
        <v>24</v>
      </c>
      <c r="D167" t="s">
        <v>32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67</v>
      </c>
      <c r="B168" s="2">
        <v>45717</v>
      </c>
      <c r="C168" t="s">
        <v>24</v>
      </c>
      <c r="D168" t="s">
        <v>32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67</v>
      </c>
      <c r="B169" s="2">
        <v>45748</v>
      </c>
      <c r="C169" t="s">
        <v>24</v>
      </c>
      <c r="D169" t="s">
        <v>32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68</v>
      </c>
      <c r="B170" s="2">
        <v>45658</v>
      </c>
      <c r="C170" t="s">
        <v>19</v>
      </c>
      <c r="D170" t="s">
        <v>20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68</v>
      </c>
      <c r="B171" s="2">
        <v>45689</v>
      </c>
      <c r="C171" t="s">
        <v>19</v>
      </c>
      <c r="D171" t="s">
        <v>20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68</v>
      </c>
      <c r="B172" s="2">
        <v>45717</v>
      </c>
      <c r="C172" t="s">
        <v>19</v>
      </c>
      <c r="D172" t="s">
        <v>20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68</v>
      </c>
      <c r="B173" s="2">
        <v>45748</v>
      </c>
      <c r="C173" t="s">
        <v>19</v>
      </c>
      <c r="D173" t="s">
        <v>20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69</v>
      </c>
      <c r="B174" s="2">
        <v>45658</v>
      </c>
      <c r="C174" t="s">
        <v>19</v>
      </c>
      <c r="D174" t="s">
        <v>20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69</v>
      </c>
      <c r="B175" s="2">
        <v>45689</v>
      </c>
      <c r="C175" t="s">
        <v>19</v>
      </c>
      <c r="D175" t="s">
        <v>20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69</v>
      </c>
      <c r="B176" s="2">
        <v>45717</v>
      </c>
      <c r="C176" t="s">
        <v>19</v>
      </c>
      <c r="D176" t="s">
        <v>20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69</v>
      </c>
      <c r="B177" s="2">
        <v>45748</v>
      </c>
      <c r="C177" t="s">
        <v>19</v>
      </c>
      <c r="D177" t="s">
        <v>20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70</v>
      </c>
      <c r="B178" s="2">
        <v>45658</v>
      </c>
      <c r="C178" t="s">
        <v>31</v>
      </c>
      <c r="D178" t="s">
        <v>25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70</v>
      </c>
      <c r="B179" s="2">
        <v>45689</v>
      </c>
      <c r="C179" t="s">
        <v>31</v>
      </c>
      <c r="D179" t="s">
        <v>25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70</v>
      </c>
      <c r="B180" s="2">
        <v>45717</v>
      </c>
      <c r="C180" t="s">
        <v>31</v>
      </c>
      <c r="D180" t="s">
        <v>25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70</v>
      </c>
      <c r="B181" s="2">
        <v>45748</v>
      </c>
      <c r="C181" t="s">
        <v>31</v>
      </c>
      <c r="D181" t="s">
        <v>25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71</v>
      </c>
      <c r="B182" s="2">
        <v>45658</v>
      </c>
      <c r="C182" t="s">
        <v>31</v>
      </c>
      <c r="D182" t="s">
        <v>20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71</v>
      </c>
      <c r="B183" s="2">
        <v>45689</v>
      </c>
      <c r="C183" t="s">
        <v>31</v>
      </c>
      <c r="D183" t="s">
        <v>20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71</v>
      </c>
      <c r="B184" s="2">
        <v>45717</v>
      </c>
      <c r="C184" t="s">
        <v>31</v>
      </c>
      <c r="D184" t="s">
        <v>20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71</v>
      </c>
      <c r="B185" s="2">
        <v>45748</v>
      </c>
      <c r="C185" t="s">
        <v>31</v>
      </c>
      <c r="D185" t="s">
        <v>20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72</v>
      </c>
      <c r="B186" s="2">
        <v>45658</v>
      </c>
      <c r="C186" t="s">
        <v>24</v>
      </c>
      <c r="D186" t="s">
        <v>22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72</v>
      </c>
      <c r="B187" s="2">
        <v>45689</v>
      </c>
      <c r="C187" t="s">
        <v>24</v>
      </c>
      <c r="D187" t="s">
        <v>22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72</v>
      </c>
      <c r="B188" s="2">
        <v>45717</v>
      </c>
      <c r="C188" t="s">
        <v>24</v>
      </c>
      <c r="D188" t="s">
        <v>22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72</v>
      </c>
      <c r="B189" s="2">
        <v>45748</v>
      </c>
      <c r="C189" t="s">
        <v>24</v>
      </c>
      <c r="D189" t="s">
        <v>22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73</v>
      </c>
      <c r="B190" s="2">
        <v>45658</v>
      </c>
      <c r="C190" t="s">
        <v>19</v>
      </c>
      <c r="D190" t="s">
        <v>22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73</v>
      </c>
      <c r="B191" s="2">
        <v>45689</v>
      </c>
      <c r="C191" t="s">
        <v>19</v>
      </c>
      <c r="D191" t="s">
        <v>22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73</v>
      </c>
      <c r="B192" s="2">
        <v>45717</v>
      </c>
      <c r="C192" t="s">
        <v>19</v>
      </c>
      <c r="D192" t="s">
        <v>22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73</v>
      </c>
      <c r="B193" s="2">
        <v>45748</v>
      </c>
      <c r="C193" t="s">
        <v>19</v>
      </c>
      <c r="D193" t="s">
        <v>22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74</v>
      </c>
      <c r="B194" s="2">
        <v>45658</v>
      </c>
      <c r="C194" t="s">
        <v>31</v>
      </c>
      <c r="D194" t="s">
        <v>20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74</v>
      </c>
      <c r="B195" s="2">
        <v>45689</v>
      </c>
      <c r="C195" t="s">
        <v>31</v>
      </c>
      <c r="D195" t="s">
        <v>20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74</v>
      </c>
      <c r="B196" s="2">
        <v>45717</v>
      </c>
      <c r="C196" t="s">
        <v>31</v>
      </c>
      <c r="D196" t="s">
        <v>20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74</v>
      </c>
      <c r="B197" s="2">
        <v>45748</v>
      </c>
      <c r="C197" t="s">
        <v>31</v>
      </c>
      <c r="D197" t="s">
        <v>20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75</v>
      </c>
      <c r="B198" s="2">
        <v>45658</v>
      </c>
      <c r="C198" t="s">
        <v>24</v>
      </c>
      <c r="D198" t="s">
        <v>20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75</v>
      </c>
      <c r="B199" s="2">
        <v>45689</v>
      </c>
      <c r="C199" t="s">
        <v>24</v>
      </c>
      <c r="D199" t="s">
        <v>20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75</v>
      </c>
      <c r="B200" s="2">
        <v>45717</v>
      </c>
      <c r="C200" t="s">
        <v>24</v>
      </c>
      <c r="D200" t="s">
        <v>20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75</v>
      </c>
      <c r="B201" s="2">
        <v>45748</v>
      </c>
      <c r="C201" t="s">
        <v>24</v>
      </c>
      <c r="D201" t="s">
        <v>20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76</v>
      </c>
      <c r="B202" s="2">
        <v>45658</v>
      </c>
      <c r="C202" t="s">
        <v>19</v>
      </c>
      <c r="D202" t="s">
        <v>25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76</v>
      </c>
      <c r="B203" s="2">
        <v>45689</v>
      </c>
      <c r="C203" t="s">
        <v>19</v>
      </c>
      <c r="D203" t="s">
        <v>25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76</v>
      </c>
      <c r="B204" s="2">
        <v>45717</v>
      </c>
      <c r="C204" t="s">
        <v>19</v>
      </c>
      <c r="D204" t="s">
        <v>25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76</v>
      </c>
      <c r="B205" s="2">
        <v>45748</v>
      </c>
      <c r="C205" t="s">
        <v>19</v>
      </c>
      <c r="D205" t="s">
        <v>25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77</v>
      </c>
      <c r="B206" s="2">
        <v>45658</v>
      </c>
      <c r="C206" t="s">
        <v>19</v>
      </c>
      <c r="D206" t="s">
        <v>32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77</v>
      </c>
      <c r="B207" s="2">
        <v>45689</v>
      </c>
      <c r="C207" t="s">
        <v>19</v>
      </c>
      <c r="D207" t="s">
        <v>32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77</v>
      </c>
      <c r="B208" s="2">
        <v>45717</v>
      </c>
      <c r="C208" t="s">
        <v>19</v>
      </c>
      <c r="D208" t="s">
        <v>32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77</v>
      </c>
      <c r="B209" s="2">
        <v>45748</v>
      </c>
      <c r="C209" t="s">
        <v>19</v>
      </c>
      <c r="D209" t="s">
        <v>32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78</v>
      </c>
      <c r="B210" s="2">
        <v>45658</v>
      </c>
      <c r="C210" t="s">
        <v>19</v>
      </c>
      <c r="D210" t="s">
        <v>22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78</v>
      </c>
      <c r="B211" s="2">
        <v>45689</v>
      </c>
      <c r="C211" t="s">
        <v>19</v>
      </c>
      <c r="D211" t="s">
        <v>22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78</v>
      </c>
      <c r="B212" s="2">
        <v>45717</v>
      </c>
      <c r="C212" t="s">
        <v>19</v>
      </c>
      <c r="D212" t="s">
        <v>22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78</v>
      </c>
      <c r="B213" s="2">
        <v>45748</v>
      </c>
      <c r="C213" t="s">
        <v>19</v>
      </c>
      <c r="D213" t="s">
        <v>22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79</v>
      </c>
      <c r="B214" s="2">
        <v>45658</v>
      </c>
      <c r="C214" t="s">
        <v>31</v>
      </c>
      <c r="D214" t="s">
        <v>20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79</v>
      </c>
      <c r="B215" s="2">
        <v>45689</v>
      </c>
      <c r="C215" t="s">
        <v>31</v>
      </c>
      <c r="D215" t="s">
        <v>20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79</v>
      </c>
      <c r="B216" s="2">
        <v>45717</v>
      </c>
      <c r="C216" t="s">
        <v>31</v>
      </c>
      <c r="D216" t="s">
        <v>20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79</v>
      </c>
      <c r="B217" s="2">
        <v>45748</v>
      </c>
      <c r="C217" t="s">
        <v>31</v>
      </c>
      <c r="D217" t="s">
        <v>20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80</v>
      </c>
      <c r="B218" s="2">
        <v>45658</v>
      </c>
      <c r="C218" t="s">
        <v>24</v>
      </c>
      <c r="D218" t="s">
        <v>25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80</v>
      </c>
      <c r="B219" s="2">
        <v>45689</v>
      </c>
      <c r="C219" t="s">
        <v>24</v>
      </c>
      <c r="D219" t="s">
        <v>25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80</v>
      </c>
      <c r="B220" s="2">
        <v>45717</v>
      </c>
      <c r="C220" t="s">
        <v>24</v>
      </c>
      <c r="D220" t="s">
        <v>25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80</v>
      </c>
      <c r="B221" s="2">
        <v>45748</v>
      </c>
      <c r="C221" t="s">
        <v>24</v>
      </c>
      <c r="D221" t="s">
        <v>25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81</v>
      </c>
      <c r="B222" s="2">
        <v>45658</v>
      </c>
      <c r="C222" t="s">
        <v>19</v>
      </c>
      <c r="D222" t="s">
        <v>22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81</v>
      </c>
      <c r="B223" s="2">
        <v>45689</v>
      </c>
      <c r="C223" t="s">
        <v>19</v>
      </c>
      <c r="D223" t="s">
        <v>22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81</v>
      </c>
      <c r="B224" s="2">
        <v>45717</v>
      </c>
      <c r="C224" t="s">
        <v>19</v>
      </c>
      <c r="D224" t="s">
        <v>22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81</v>
      </c>
      <c r="B225" s="2">
        <v>45748</v>
      </c>
      <c r="C225" t="s">
        <v>19</v>
      </c>
      <c r="D225" t="s">
        <v>22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82</v>
      </c>
      <c r="B226" s="2">
        <v>45658</v>
      </c>
      <c r="C226" t="s">
        <v>19</v>
      </c>
      <c r="D226" t="s">
        <v>32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82</v>
      </c>
      <c r="B227" s="2">
        <v>45689</v>
      </c>
      <c r="C227" t="s">
        <v>19</v>
      </c>
      <c r="D227" t="s">
        <v>32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82</v>
      </c>
      <c r="B228" s="2">
        <v>45717</v>
      </c>
      <c r="C228" t="s">
        <v>19</v>
      </c>
      <c r="D228" t="s">
        <v>32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82</v>
      </c>
      <c r="B229" s="2">
        <v>45748</v>
      </c>
      <c r="C229" t="s">
        <v>19</v>
      </c>
      <c r="D229" t="s">
        <v>32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83</v>
      </c>
      <c r="B230" s="2">
        <v>45658</v>
      </c>
      <c r="C230" t="s">
        <v>19</v>
      </c>
      <c r="D230" t="s">
        <v>22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83</v>
      </c>
      <c r="B231" s="2">
        <v>45689</v>
      </c>
      <c r="C231" t="s">
        <v>19</v>
      </c>
      <c r="D231" t="s">
        <v>22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83</v>
      </c>
      <c r="B232" s="2">
        <v>45717</v>
      </c>
      <c r="C232" t="s">
        <v>19</v>
      </c>
      <c r="D232" t="s">
        <v>22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83</v>
      </c>
      <c r="B233" s="2">
        <v>45748</v>
      </c>
      <c r="C233" t="s">
        <v>19</v>
      </c>
      <c r="D233" t="s">
        <v>22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84</v>
      </c>
      <c r="B234" s="2">
        <v>45658</v>
      </c>
      <c r="C234" t="s">
        <v>31</v>
      </c>
      <c r="D234" t="s">
        <v>20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84</v>
      </c>
      <c r="B235" s="2">
        <v>45689</v>
      </c>
      <c r="C235" t="s">
        <v>31</v>
      </c>
      <c r="D235" t="s">
        <v>20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84</v>
      </c>
      <c r="B236" s="2">
        <v>45717</v>
      </c>
      <c r="C236" t="s">
        <v>31</v>
      </c>
      <c r="D236" t="s">
        <v>20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84</v>
      </c>
      <c r="B237" s="2">
        <v>45748</v>
      </c>
      <c r="C237" t="s">
        <v>31</v>
      </c>
      <c r="D237" t="s">
        <v>20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85</v>
      </c>
      <c r="B238" s="2">
        <v>45658</v>
      </c>
      <c r="C238" t="s">
        <v>31</v>
      </c>
      <c r="D238" t="s">
        <v>32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85</v>
      </c>
      <c r="B239" s="2">
        <v>45689</v>
      </c>
      <c r="C239" t="s">
        <v>31</v>
      </c>
      <c r="D239" t="s">
        <v>32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85</v>
      </c>
      <c r="B240" s="2">
        <v>45717</v>
      </c>
      <c r="C240" t="s">
        <v>31</v>
      </c>
      <c r="D240" t="s">
        <v>32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85</v>
      </c>
      <c r="B241" s="2">
        <v>45748</v>
      </c>
      <c r="C241" t="s">
        <v>31</v>
      </c>
      <c r="D241" t="s">
        <v>32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86</v>
      </c>
      <c r="B242" s="2">
        <v>45658</v>
      </c>
      <c r="C242" t="s">
        <v>28</v>
      </c>
      <c r="D242" t="s">
        <v>25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86</v>
      </c>
      <c r="B243" s="2">
        <v>45689</v>
      </c>
      <c r="C243" t="s">
        <v>28</v>
      </c>
      <c r="D243" t="s">
        <v>25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86</v>
      </c>
      <c r="B244" s="2">
        <v>45717</v>
      </c>
      <c r="C244" t="s">
        <v>28</v>
      </c>
      <c r="D244" t="s">
        <v>25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86</v>
      </c>
      <c r="B245" s="2">
        <v>45748</v>
      </c>
      <c r="C245" t="s">
        <v>28</v>
      </c>
      <c r="D245" t="s">
        <v>25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87</v>
      </c>
      <c r="B246" s="2">
        <v>45658</v>
      </c>
      <c r="C246" t="s">
        <v>19</v>
      </c>
      <c r="D246" t="s">
        <v>22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87</v>
      </c>
      <c r="B247" s="2">
        <v>45689</v>
      </c>
      <c r="C247" t="s">
        <v>19</v>
      </c>
      <c r="D247" t="s">
        <v>22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87</v>
      </c>
      <c r="B248" s="2">
        <v>45717</v>
      </c>
      <c r="C248" t="s">
        <v>19</v>
      </c>
      <c r="D248" t="s">
        <v>22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87</v>
      </c>
      <c r="B249" s="2">
        <v>45748</v>
      </c>
      <c r="C249" t="s">
        <v>19</v>
      </c>
      <c r="D249" t="s">
        <v>22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88</v>
      </c>
      <c r="B250" s="2">
        <v>45658</v>
      </c>
      <c r="C250" t="s">
        <v>24</v>
      </c>
      <c r="D250" t="s">
        <v>22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88</v>
      </c>
      <c r="B251" s="2">
        <v>45689</v>
      </c>
      <c r="C251" t="s">
        <v>24</v>
      </c>
      <c r="D251" t="s">
        <v>22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88</v>
      </c>
      <c r="B252" s="2">
        <v>45717</v>
      </c>
      <c r="C252" t="s">
        <v>24</v>
      </c>
      <c r="D252" t="s">
        <v>22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88</v>
      </c>
      <c r="B253" s="2">
        <v>45748</v>
      </c>
      <c r="C253" t="s">
        <v>24</v>
      </c>
      <c r="D253" t="s">
        <v>22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89</v>
      </c>
      <c r="B254" s="2">
        <v>45658</v>
      </c>
      <c r="C254" t="s">
        <v>28</v>
      </c>
      <c r="D254" t="s">
        <v>25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89</v>
      </c>
      <c r="B255" s="2">
        <v>45689</v>
      </c>
      <c r="C255" t="s">
        <v>28</v>
      </c>
      <c r="D255" t="s">
        <v>25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89</v>
      </c>
      <c r="B256" s="2">
        <v>45717</v>
      </c>
      <c r="C256" t="s">
        <v>28</v>
      </c>
      <c r="D256" t="s">
        <v>25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89</v>
      </c>
      <c r="B257" s="2">
        <v>45748</v>
      </c>
      <c r="C257" t="s">
        <v>28</v>
      </c>
      <c r="D257" t="s">
        <v>25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90</v>
      </c>
      <c r="B258" s="2">
        <v>45658</v>
      </c>
      <c r="C258" t="s">
        <v>28</v>
      </c>
      <c r="D258" t="s">
        <v>32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90</v>
      </c>
      <c r="B259" s="2">
        <v>45689</v>
      </c>
      <c r="C259" t="s">
        <v>28</v>
      </c>
      <c r="D259" t="s">
        <v>32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90</v>
      </c>
      <c r="B260" s="2">
        <v>45717</v>
      </c>
      <c r="C260" t="s">
        <v>28</v>
      </c>
      <c r="D260" t="s">
        <v>32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90</v>
      </c>
      <c r="B261" s="2">
        <v>45748</v>
      </c>
      <c r="C261" t="s">
        <v>28</v>
      </c>
      <c r="D261" t="s">
        <v>32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91</v>
      </c>
      <c r="B262" s="2">
        <v>45658</v>
      </c>
      <c r="C262" t="s">
        <v>31</v>
      </c>
      <c r="D262" t="s">
        <v>22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91</v>
      </c>
      <c r="B263" s="2">
        <v>45689</v>
      </c>
      <c r="C263" t="s">
        <v>31</v>
      </c>
      <c r="D263" t="s">
        <v>22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91</v>
      </c>
      <c r="B264" s="2">
        <v>45717</v>
      </c>
      <c r="C264" t="s">
        <v>31</v>
      </c>
      <c r="D264" t="s">
        <v>22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91</v>
      </c>
      <c r="B265" s="2">
        <v>45748</v>
      </c>
      <c r="C265" t="s">
        <v>31</v>
      </c>
      <c r="D265" t="s">
        <v>22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92</v>
      </c>
      <c r="B266" s="2">
        <v>45658</v>
      </c>
      <c r="C266" t="s">
        <v>19</v>
      </c>
      <c r="D266" t="s">
        <v>22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92</v>
      </c>
      <c r="B267" s="2">
        <v>45689</v>
      </c>
      <c r="C267" t="s">
        <v>19</v>
      </c>
      <c r="D267" t="s">
        <v>22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92</v>
      </c>
      <c r="B268" s="2">
        <v>45717</v>
      </c>
      <c r="C268" t="s">
        <v>19</v>
      </c>
      <c r="D268" t="s">
        <v>22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92</v>
      </c>
      <c r="B269" s="2">
        <v>45748</v>
      </c>
      <c r="C269" t="s">
        <v>19</v>
      </c>
      <c r="D269" t="s">
        <v>22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93</v>
      </c>
      <c r="B270" s="2">
        <v>45658</v>
      </c>
      <c r="C270" t="s">
        <v>19</v>
      </c>
      <c r="D270" t="s">
        <v>32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93</v>
      </c>
      <c r="B271" s="2">
        <v>45689</v>
      </c>
      <c r="C271" t="s">
        <v>19</v>
      </c>
      <c r="D271" t="s">
        <v>32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93</v>
      </c>
      <c r="B272" s="2">
        <v>45717</v>
      </c>
      <c r="C272" t="s">
        <v>19</v>
      </c>
      <c r="D272" t="s">
        <v>32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93</v>
      </c>
      <c r="B273" s="2">
        <v>45748</v>
      </c>
      <c r="C273" t="s">
        <v>19</v>
      </c>
      <c r="D273" t="s">
        <v>32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94</v>
      </c>
      <c r="B274" s="2">
        <v>45658</v>
      </c>
      <c r="C274" t="s">
        <v>31</v>
      </c>
      <c r="D274" t="s">
        <v>22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94</v>
      </c>
      <c r="B275" s="2">
        <v>45689</v>
      </c>
      <c r="C275" t="s">
        <v>31</v>
      </c>
      <c r="D275" t="s">
        <v>22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94</v>
      </c>
      <c r="B276" s="2">
        <v>45717</v>
      </c>
      <c r="C276" t="s">
        <v>31</v>
      </c>
      <c r="D276" t="s">
        <v>22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94</v>
      </c>
      <c r="B277" s="2">
        <v>45748</v>
      </c>
      <c r="C277" t="s">
        <v>31</v>
      </c>
      <c r="D277" t="s">
        <v>22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95</v>
      </c>
      <c r="B278" s="2">
        <v>45658</v>
      </c>
      <c r="C278" t="s">
        <v>28</v>
      </c>
      <c r="D278" t="s">
        <v>20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95</v>
      </c>
      <c r="B279" s="2">
        <v>45689</v>
      </c>
      <c r="C279" t="s">
        <v>28</v>
      </c>
      <c r="D279" t="s">
        <v>20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95</v>
      </c>
      <c r="B280" s="2">
        <v>45717</v>
      </c>
      <c r="C280" t="s">
        <v>28</v>
      </c>
      <c r="D280" t="s">
        <v>20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95</v>
      </c>
      <c r="B281" s="2">
        <v>45748</v>
      </c>
      <c r="C281" t="s">
        <v>28</v>
      </c>
      <c r="D281" t="s">
        <v>20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96</v>
      </c>
      <c r="B282" s="2">
        <v>45658</v>
      </c>
      <c r="C282" t="s">
        <v>28</v>
      </c>
      <c r="D282" t="s">
        <v>22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96</v>
      </c>
      <c r="B283" s="2">
        <v>45689</v>
      </c>
      <c r="C283" t="s">
        <v>28</v>
      </c>
      <c r="D283" t="s">
        <v>22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96</v>
      </c>
      <c r="B284" s="2">
        <v>45717</v>
      </c>
      <c r="C284" t="s">
        <v>28</v>
      </c>
      <c r="D284" t="s">
        <v>22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96</v>
      </c>
      <c r="B285" s="2">
        <v>45748</v>
      </c>
      <c r="C285" t="s">
        <v>28</v>
      </c>
      <c r="D285" t="s">
        <v>22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97</v>
      </c>
      <c r="B286" s="2">
        <v>45658</v>
      </c>
      <c r="C286" t="s">
        <v>31</v>
      </c>
      <c r="D286" t="s">
        <v>20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97</v>
      </c>
      <c r="B287" s="2">
        <v>45689</v>
      </c>
      <c r="C287" t="s">
        <v>31</v>
      </c>
      <c r="D287" t="s">
        <v>20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97</v>
      </c>
      <c r="B288" s="2">
        <v>45717</v>
      </c>
      <c r="C288" t="s">
        <v>31</v>
      </c>
      <c r="D288" t="s">
        <v>20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97</v>
      </c>
      <c r="B289" s="2">
        <v>45748</v>
      </c>
      <c r="C289" t="s">
        <v>31</v>
      </c>
      <c r="D289" t="s">
        <v>20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98</v>
      </c>
      <c r="B290" s="2">
        <v>45658</v>
      </c>
      <c r="C290" t="s">
        <v>19</v>
      </c>
      <c r="D290" t="s">
        <v>20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98</v>
      </c>
      <c r="B291" s="2">
        <v>45689</v>
      </c>
      <c r="C291" t="s">
        <v>19</v>
      </c>
      <c r="D291" t="s">
        <v>20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98</v>
      </c>
      <c r="B292" s="2">
        <v>45717</v>
      </c>
      <c r="C292" t="s">
        <v>19</v>
      </c>
      <c r="D292" t="s">
        <v>20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98</v>
      </c>
      <c r="B293" s="2">
        <v>45748</v>
      </c>
      <c r="C293" t="s">
        <v>19</v>
      </c>
      <c r="D293" t="s">
        <v>20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99</v>
      </c>
      <c r="B294" s="2">
        <v>45658</v>
      </c>
      <c r="C294" t="s">
        <v>31</v>
      </c>
      <c r="D294" t="s">
        <v>22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99</v>
      </c>
      <c r="B295" s="2">
        <v>45689</v>
      </c>
      <c r="C295" t="s">
        <v>31</v>
      </c>
      <c r="D295" t="s">
        <v>22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99</v>
      </c>
      <c r="B296" s="2">
        <v>45717</v>
      </c>
      <c r="C296" t="s">
        <v>31</v>
      </c>
      <c r="D296" t="s">
        <v>22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99</v>
      </c>
      <c r="B297" s="2">
        <v>45748</v>
      </c>
      <c r="C297" t="s">
        <v>31</v>
      </c>
      <c r="D297" t="s">
        <v>22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100</v>
      </c>
      <c r="B298" s="2">
        <v>45658</v>
      </c>
      <c r="C298" t="s">
        <v>31</v>
      </c>
      <c r="D298" t="s">
        <v>22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100</v>
      </c>
      <c r="B299" s="2">
        <v>45689</v>
      </c>
      <c r="C299" t="s">
        <v>31</v>
      </c>
      <c r="D299" t="s">
        <v>22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100</v>
      </c>
      <c r="B300" s="2">
        <v>45717</v>
      </c>
      <c r="C300" t="s">
        <v>31</v>
      </c>
      <c r="D300" t="s">
        <v>22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100</v>
      </c>
      <c r="B301" s="2">
        <v>45748</v>
      </c>
      <c r="C301" t="s">
        <v>31</v>
      </c>
      <c r="D301" t="s">
        <v>22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101</v>
      </c>
      <c r="B302" s="2">
        <v>45658</v>
      </c>
      <c r="C302" t="s">
        <v>24</v>
      </c>
      <c r="D302" t="s">
        <v>32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101</v>
      </c>
      <c r="B303" s="2">
        <v>45689</v>
      </c>
      <c r="C303" t="s">
        <v>24</v>
      </c>
      <c r="D303" t="s">
        <v>32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101</v>
      </c>
      <c r="B304" s="2">
        <v>45717</v>
      </c>
      <c r="C304" t="s">
        <v>24</v>
      </c>
      <c r="D304" t="s">
        <v>32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101</v>
      </c>
      <c r="B305" s="2">
        <v>45748</v>
      </c>
      <c r="C305" t="s">
        <v>24</v>
      </c>
      <c r="D305" t="s">
        <v>32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102</v>
      </c>
      <c r="B306" s="2">
        <v>45658</v>
      </c>
      <c r="C306" t="s">
        <v>28</v>
      </c>
      <c r="D306" t="s">
        <v>20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102</v>
      </c>
      <c r="B307" s="2">
        <v>45689</v>
      </c>
      <c r="C307" t="s">
        <v>28</v>
      </c>
      <c r="D307" t="s">
        <v>20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102</v>
      </c>
      <c r="B308" s="2">
        <v>45717</v>
      </c>
      <c r="C308" t="s">
        <v>28</v>
      </c>
      <c r="D308" t="s">
        <v>20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102</v>
      </c>
      <c r="B309" s="2">
        <v>45748</v>
      </c>
      <c r="C309" t="s">
        <v>28</v>
      </c>
      <c r="D309" t="s">
        <v>20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103</v>
      </c>
      <c r="B310" s="2">
        <v>45658</v>
      </c>
      <c r="C310" t="s">
        <v>28</v>
      </c>
      <c r="D310" t="s">
        <v>22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103</v>
      </c>
      <c r="B311" s="2">
        <v>45689</v>
      </c>
      <c r="C311" t="s">
        <v>28</v>
      </c>
      <c r="D311" t="s">
        <v>22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103</v>
      </c>
      <c r="B312" s="2">
        <v>45717</v>
      </c>
      <c r="C312" t="s">
        <v>28</v>
      </c>
      <c r="D312" t="s">
        <v>22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103</v>
      </c>
      <c r="B313" s="2">
        <v>45748</v>
      </c>
      <c r="C313" t="s">
        <v>28</v>
      </c>
      <c r="D313" t="s">
        <v>22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104</v>
      </c>
      <c r="B314" s="2">
        <v>45658</v>
      </c>
      <c r="C314" t="s">
        <v>24</v>
      </c>
      <c r="D314" t="s">
        <v>20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104</v>
      </c>
      <c r="B315" s="2">
        <v>45689</v>
      </c>
      <c r="C315" t="s">
        <v>24</v>
      </c>
      <c r="D315" t="s">
        <v>20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104</v>
      </c>
      <c r="B316" s="2">
        <v>45717</v>
      </c>
      <c r="C316" t="s">
        <v>24</v>
      </c>
      <c r="D316" t="s">
        <v>20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104</v>
      </c>
      <c r="B317" s="2">
        <v>45748</v>
      </c>
      <c r="C317" t="s">
        <v>24</v>
      </c>
      <c r="D317" t="s">
        <v>20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105</v>
      </c>
      <c r="B318" s="2">
        <v>45658</v>
      </c>
      <c r="C318" t="s">
        <v>19</v>
      </c>
      <c r="D318" t="s">
        <v>20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105</v>
      </c>
      <c r="B319" s="2">
        <v>45689</v>
      </c>
      <c r="C319" t="s">
        <v>19</v>
      </c>
      <c r="D319" t="s">
        <v>20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105</v>
      </c>
      <c r="B320" s="2">
        <v>45717</v>
      </c>
      <c r="C320" t="s">
        <v>19</v>
      </c>
      <c r="D320" t="s">
        <v>20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105</v>
      </c>
      <c r="B321" s="2">
        <v>45748</v>
      </c>
      <c r="C321" t="s">
        <v>19</v>
      </c>
      <c r="D321" t="s">
        <v>20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autoFilter ref="A1:N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7DC38-ACBB-454B-9B06-3C0430906C93}">
  <dimension ref="A1:N321"/>
  <sheetViews>
    <sheetView workbookViewId="0">
      <selection sqref="A1:N321"/>
    </sheetView>
  </sheetViews>
  <sheetFormatPr defaultRowHeight="14.5"/>
  <sheetData>
    <row r="1" spans="1:14" ht="5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>
      <c r="A2" t="s">
        <v>18</v>
      </c>
      <c r="B2" s="2">
        <v>45658</v>
      </c>
      <c r="C2" t="s">
        <v>19</v>
      </c>
      <c r="D2" t="s">
        <v>20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18</v>
      </c>
      <c r="B3" s="2">
        <v>45689</v>
      </c>
      <c r="C3" t="s">
        <v>19</v>
      </c>
      <c r="D3" t="s">
        <v>20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18</v>
      </c>
      <c r="B4" s="2">
        <v>45717</v>
      </c>
      <c r="C4" t="s">
        <v>19</v>
      </c>
      <c r="D4" t="s">
        <v>20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18</v>
      </c>
      <c r="B5" s="2">
        <v>45748</v>
      </c>
      <c r="C5" t="s">
        <v>19</v>
      </c>
      <c r="D5" t="s">
        <v>20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21</v>
      </c>
      <c r="B6" s="2">
        <v>45658</v>
      </c>
      <c r="C6" t="s">
        <v>19</v>
      </c>
      <c r="D6" t="s">
        <v>22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21</v>
      </c>
      <c r="B7" s="2">
        <v>45689</v>
      </c>
      <c r="C7" t="s">
        <v>19</v>
      </c>
      <c r="D7" t="s">
        <v>22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21</v>
      </c>
      <c r="B8" s="2">
        <v>45717</v>
      </c>
      <c r="C8" t="s">
        <v>19</v>
      </c>
      <c r="D8" t="s">
        <v>22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21</v>
      </c>
      <c r="B9" s="2">
        <v>45748</v>
      </c>
      <c r="C9" t="s">
        <v>19</v>
      </c>
      <c r="D9" t="s">
        <v>22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23</v>
      </c>
      <c r="B10" s="2">
        <v>45658</v>
      </c>
      <c r="C10" t="s">
        <v>24</v>
      </c>
      <c r="D10" t="s">
        <v>25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23</v>
      </c>
      <c r="B11" s="2">
        <v>45689</v>
      </c>
      <c r="C11" t="s">
        <v>24</v>
      </c>
      <c r="D11" t="s">
        <v>25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23</v>
      </c>
      <c r="B12" s="2">
        <v>45717</v>
      </c>
      <c r="C12" t="s">
        <v>24</v>
      </c>
      <c r="D12" t="s">
        <v>25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23</v>
      </c>
      <c r="B13" s="2">
        <v>45748</v>
      </c>
      <c r="C13" t="s">
        <v>24</v>
      </c>
      <c r="D13" t="s">
        <v>25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26</v>
      </c>
      <c r="B14" s="2">
        <v>45658</v>
      </c>
      <c r="C14" t="s">
        <v>19</v>
      </c>
      <c r="D14" t="s">
        <v>20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26</v>
      </c>
      <c r="B15" s="2">
        <v>45689</v>
      </c>
      <c r="C15" t="s">
        <v>19</v>
      </c>
      <c r="D15" t="s">
        <v>20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26</v>
      </c>
      <c r="B16" s="2">
        <v>45717</v>
      </c>
      <c r="C16" t="s">
        <v>19</v>
      </c>
      <c r="D16" t="s">
        <v>20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26</v>
      </c>
      <c r="B17" s="2">
        <v>45748</v>
      </c>
      <c r="C17" t="s">
        <v>19</v>
      </c>
      <c r="D17" t="s">
        <v>20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27</v>
      </c>
      <c r="B18" s="2">
        <v>45658</v>
      </c>
      <c r="C18" t="s">
        <v>28</v>
      </c>
      <c r="D18" t="s">
        <v>20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27</v>
      </c>
      <c r="B19" s="2">
        <v>45689</v>
      </c>
      <c r="C19" t="s">
        <v>28</v>
      </c>
      <c r="D19" t="s">
        <v>20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27</v>
      </c>
      <c r="B20" s="2">
        <v>45717</v>
      </c>
      <c r="C20" t="s">
        <v>28</v>
      </c>
      <c r="D20" t="s">
        <v>20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27</v>
      </c>
      <c r="B21" s="2">
        <v>45748</v>
      </c>
      <c r="C21" t="s">
        <v>28</v>
      </c>
      <c r="D21" t="s">
        <v>20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29</v>
      </c>
      <c r="B22" s="2">
        <v>45658</v>
      </c>
      <c r="C22" t="s">
        <v>24</v>
      </c>
      <c r="D22" t="s">
        <v>20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29</v>
      </c>
      <c r="B23" s="2">
        <v>45689</v>
      </c>
      <c r="C23" t="s">
        <v>24</v>
      </c>
      <c r="D23" t="s">
        <v>20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29</v>
      </c>
      <c r="B24" s="2">
        <v>45717</v>
      </c>
      <c r="C24" t="s">
        <v>24</v>
      </c>
      <c r="D24" t="s">
        <v>20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29</v>
      </c>
      <c r="B25" s="2">
        <v>45748</v>
      </c>
      <c r="C25" t="s">
        <v>24</v>
      </c>
      <c r="D25" t="s">
        <v>20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30</v>
      </c>
      <c r="B26" s="2">
        <v>45658</v>
      </c>
      <c r="C26" t="s">
        <v>31</v>
      </c>
      <c r="D26" t="s">
        <v>32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30</v>
      </c>
      <c r="B27" s="2">
        <v>45689</v>
      </c>
      <c r="C27" t="s">
        <v>31</v>
      </c>
      <c r="D27" t="s">
        <v>32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30</v>
      </c>
      <c r="B28" s="2">
        <v>45717</v>
      </c>
      <c r="C28" t="s">
        <v>31</v>
      </c>
      <c r="D28" t="s">
        <v>32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30</v>
      </c>
      <c r="B29" s="2">
        <v>45748</v>
      </c>
      <c r="C29" t="s">
        <v>31</v>
      </c>
      <c r="D29" t="s">
        <v>32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33</v>
      </c>
      <c r="B30" s="2">
        <v>45658</v>
      </c>
      <c r="C30" t="s">
        <v>19</v>
      </c>
      <c r="D30" t="s">
        <v>20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33</v>
      </c>
      <c r="B31" s="2">
        <v>45689</v>
      </c>
      <c r="C31" t="s">
        <v>19</v>
      </c>
      <c r="D31" t="s">
        <v>20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33</v>
      </c>
      <c r="B32" s="2">
        <v>45717</v>
      </c>
      <c r="C32" t="s">
        <v>19</v>
      </c>
      <c r="D32" t="s">
        <v>20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33</v>
      </c>
      <c r="B33" s="2">
        <v>45748</v>
      </c>
      <c r="C33" t="s">
        <v>19</v>
      </c>
      <c r="D33" t="s">
        <v>20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34</v>
      </c>
      <c r="B34" s="2">
        <v>45658</v>
      </c>
      <c r="C34" t="s">
        <v>24</v>
      </c>
      <c r="D34" t="s">
        <v>20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34</v>
      </c>
      <c r="B35" s="2">
        <v>45689</v>
      </c>
      <c r="C35" t="s">
        <v>24</v>
      </c>
      <c r="D35" t="s">
        <v>20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34</v>
      </c>
      <c r="B36" s="2">
        <v>45717</v>
      </c>
      <c r="C36" t="s">
        <v>24</v>
      </c>
      <c r="D36" t="s">
        <v>20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34</v>
      </c>
      <c r="B37" s="2">
        <v>45748</v>
      </c>
      <c r="C37" t="s">
        <v>24</v>
      </c>
      <c r="D37" t="s">
        <v>20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35</v>
      </c>
      <c r="B38" s="2">
        <v>45658</v>
      </c>
      <c r="C38" t="s">
        <v>24</v>
      </c>
      <c r="D38" t="s">
        <v>32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35</v>
      </c>
      <c r="B39" s="2">
        <v>45689</v>
      </c>
      <c r="C39" t="s">
        <v>24</v>
      </c>
      <c r="D39" t="s">
        <v>32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35</v>
      </c>
      <c r="B40" s="2">
        <v>45717</v>
      </c>
      <c r="C40" t="s">
        <v>24</v>
      </c>
      <c r="D40" t="s">
        <v>32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35</v>
      </c>
      <c r="B41" s="2">
        <v>45748</v>
      </c>
      <c r="C41" t="s">
        <v>24</v>
      </c>
      <c r="D41" t="s">
        <v>32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36</v>
      </c>
      <c r="B42" s="2">
        <v>45658</v>
      </c>
      <c r="C42" t="s">
        <v>19</v>
      </c>
      <c r="D42" t="s">
        <v>32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36</v>
      </c>
      <c r="B43" s="2">
        <v>45689</v>
      </c>
      <c r="C43" t="s">
        <v>19</v>
      </c>
      <c r="D43" t="s">
        <v>32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36</v>
      </c>
      <c r="B44" s="2">
        <v>45717</v>
      </c>
      <c r="C44" t="s">
        <v>19</v>
      </c>
      <c r="D44" t="s">
        <v>32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36</v>
      </c>
      <c r="B45" s="2">
        <v>45748</v>
      </c>
      <c r="C45" t="s">
        <v>19</v>
      </c>
      <c r="D45" t="s">
        <v>32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37</v>
      </c>
      <c r="B46" s="2">
        <v>45658</v>
      </c>
      <c r="C46" t="s">
        <v>31</v>
      </c>
      <c r="D46" t="s">
        <v>20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37</v>
      </c>
      <c r="B47" s="2">
        <v>45689</v>
      </c>
      <c r="C47" t="s">
        <v>31</v>
      </c>
      <c r="D47" t="s">
        <v>20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37</v>
      </c>
      <c r="B48" s="2">
        <v>45717</v>
      </c>
      <c r="C48" t="s">
        <v>31</v>
      </c>
      <c r="D48" t="s">
        <v>20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37</v>
      </c>
      <c r="B49" s="2">
        <v>45748</v>
      </c>
      <c r="C49" t="s">
        <v>31</v>
      </c>
      <c r="D49" t="s">
        <v>20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38</v>
      </c>
      <c r="B50" s="2">
        <v>45658</v>
      </c>
      <c r="C50" t="s">
        <v>24</v>
      </c>
      <c r="D50" t="s">
        <v>32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38</v>
      </c>
      <c r="B51" s="2">
        <v>45689</v>
      </c>
      <c r="C51" t="s">
        <v>24</v>
      </c>
      <c r="D51" t="s">
        <v>32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38</v>
      </c>
      <c r="B52" s="2">
        <v>45717</v>
      </c>
      <c r="C52" t="s">
        <v>24</v>
      </c>
      <c r="D52" t="s">
        <v>32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38</v>
      </c>
      <c r="B53" s="2">
        <v>45748</v>
      </c>
      <c r="C53" t="s">
        <v>24</v>
      </c>
      <c r="D53" t="s">
        <v>32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39</v>
      </c>
      <c r="B54" s="2">
        <v>45658</v>
      </c>
      <c r="C54" t="s">
        <v>31</v>
      </c>
      <c r="D54" t="s">
        <v>22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39</v>
      </c>
      <c r="B55" s="2">
        <v>45689</v>
      </c>
      <c r="C55" t="s">
        <v>31</v>
      </c>
      <c r="D55" t="s">
        <v>22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39</v>
      </c>
      <c r="B56" s="2">
        <v>45717</v>
      </c>
      <c r="C56" t="s">
        <v>31</v>
      </c>
      <c r="D56" t="s">
        <v>22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39</v>
      </c>
      <c r="B57" s="2">
        <v>45748</v>
      </c>
      <c r="C57" t="s">
        <v>31</v>
      </c>
      <c r="D57" t="s">
        <v>22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40</v>
      </c>
      <c r="B58" s="2">
        <v>45658</v>
      </c>
      <c r="C58" t="s">
        <v>19</v>
      </c>
      <c r="D58" t="s">
        <v>25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40</v>
      </c>
      <c r="B59" s="2">
        <v>45689</v>
      </c>
      <c r="C59" t="s">
        <v>19</v>
      </c>
      <c r="D59" t="s">
        <v>25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40</v>
      </c>
      <c r="B60" s="2">
        <v>45717</v>
      </c>
      <c r="C60" t="s">
        <v>19</v>
      </c>
      <c r="D60" t="s">
        <v>25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40</v>
      </c>
      <c r="B61" s="2">
        <v>45748</v>
      </c>
      <c r="C61" t="s">
        <v>19</v>
      </c>
      <c r="D61" t="s">
        <v>25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41</v>
      </c>
      <c r="B62" s="2">
        <v>45658</v>
      </c>
      <c r="C62" t="s">
        <v>28</v>
      </c>
      <c r="D62" t="s">
        <v>22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41</v>
      </c>
      <c r="B63" s="2">
        <v>45689</v>
      </c>
      <c r="C63" t="s">
        <v>28</v>
      </c>
      <c r="D63" t="s">
        <v>22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41</v>
      </c>
      <c r="B64" s="2">
        <v>45717</v>
      </c>
      <c r="C64" t="s">
        <v>28</v>
      </c>
      <c r="D64" t="s">
        <v>22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41</v>
      </c>
      <c r="B65" s="2">
        <v>45748</v>
      </c>
      <c r="C65" t="s">
        <v>28</v>
      </c>
      <c r="D65" t="s">
        <v>22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42</v>
      </c>
      <c r="B66" s="2">
        <v>45658</v>
      </c>
      <c r="C66" t="s">
        <v>31</v>
      </c>
      <c r="D66" t="s">
        <v>22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42</v>
      </c>
      <c r="B67" s="2">
        <v>45689</v>
      </c>
      <c r="C67" t="s">
        <v>31</v>
      </c>
      <c r="D67" t="s">
        <v>22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42</v>
      </c>
      <c r="B68" s="2">
        <v>45717</v>
      </c>
      <c r="C68" t="s">
        <v>31</v>
      </c>
      <c r="D68" t="s">
        <v>22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42</v>
      </c>
      <c r="B69" s="2">
        <v>45748</v>
      </c>
      <c r="C69" t="s">
        <v>31</v>
      </c>
      <c r="D69" t="s">
        <v>22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43</v>
      </c>
      <c r="B70" s="2">
        <v>45658</v>
      </c>
      <c r="C70" t="s">
        <v>19</v>
      </c>
      <c r="D70" t="s">
        <v>22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43</v>
      </c>
      <c r="B71" s="2">
        <v>45689</v>
      </c>
      <c r="C71" t="s">
        <v>19</v>
      </c>
      <c r="D71" t="s">
        <v>22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43</v>
      </c>
      <c r="B72" s="2">
        <v>45717</v>
      </c>
      <c r="C72" t="s">
        <v>19</v>
      </c>
      <c r="D72" t="s">
        <v>22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43</v>
      </c>
      <c r="B73" s="2">
        <v>45748</v>
      </c>
      <c r="C73" t="s">
        <v>19</v>
      </c>
      <c r="D73" t="s">
        <v>22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44</v>
      </c>
      <c r="B74" s="2">
        <v>45658</v>
      </c>
      <c r="C74" t="s">
        <v>19</v>
      </c>
      <c r="D74" t="s">
        <v>20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44</v>
      </c>
      <c r="B75" s="2">
        <v>45689</v>
      </c>
      <c r="C75" t="s">
        <v>19</v>
      </c>
      <c r="D75" t="s">
        <v>20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44</v>
      </c>
      <c r="B76" s="2">
        <v>45717</v>
      </c>
      <c r="C76" t="s">
        <v>19</v>
      </c>
      <c r="D76" t="s">
        <v>20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44</v>
      </c>
      <c r="B77" s="2">
        <v>45748</v>
      </c>
      <c r="C77" t="s">
        <v>19</v>
      </c>
      <c r="D77" t="s">
        <v>20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45</v>
      </c>
      <c r="B78" s="2">
        <v>45658</v>
      </c>
      <c r="C78" t="s">
        <v>28</v>
      </c>
      <c r="D78" t="s">
        <v>22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45</v>
      </c>
      <c r="B79" s="2">
        <v>45689</v>
      </c>
      <c r="C79" t="s">
        <v>28</v>
      </c>
      <c r="D79" t="s">
        <v>22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45</v>
      </c>
      <c r="B80" s="2">
        <v>45717</v>
      </c>
      <c r="C80" t="s">
        <v>28</v>
      </c>
      <c r="D80" t="s">
        <v>22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45</v>
      </c>
      <c r="B81" s="2">
        <v>45748</v>
      </c>
      <c r="C81" t="s">
        <v>28</v>
      </c>
      <c r="D81" t="s">
        <v>22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46</v>
      </c>
      <c r="B82" s="2">
        <v>45658</v>
      </c>
      <c r="C82" t="s">
        <v>31</v>
      </c>
      <c r="D82" t="s">
        <v>32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46</v>
      </c>
      <c r="B83" s="2">
        <v>45689</v>
      </c>
      <c r="C83" t="s">
        <v>31</v>
      </c>
      <c r="D83" t="s">
        <v>32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46</v>
      </c>
      <c r="B84" s="2">
        <v>45717</v>
      </c>
      <c r="C84" t="s">
        <v>31</v>
      </c>
      <c r="D84" t="s">
        <v>32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46</v>
      </c>
      <c r="B85" s="2">
        <v>45748</v>
      </c>
      <c r="C85" t="s">
        <v>31</v>
      </c>
      <c r="D85" t="s">
        <v>32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47</v>
      </c>
      <c r="B86" s="2">
        <v>45658</v>
      </c>
      <c r="C86" t="s">
        <v>31</v>
      </c>
      <c r="D86" t="s">
        <v>22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47</v>
      </c>
      <c r="B87" s="2">
        <v>45689</v>
      </c>
      <c r="C87" t="s">
        <v>31</v>
      </c>
      <c r="D87" t="s">
        <v>22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47</v>
      </c>
      <c r="B88" s="2">
        <v>45717</v>
      </c>
      <c r="C88" t="s">
        <v>31</v>
      </c>
      <c r="D88" t="s">
        <v>22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47</v>
      </c>
      <c r="B89" s="2">
        <v>45748</v>
      </c>
      <c r="C89" t="s">
        <v>31</v>
      </c>
      <c r="D89" t="s">
        <v>22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48</v>
      </c>
      <c r="B90" s="2">
        <v>45658</v>
      </c>
      <c r="C90" t="s">
        <v>28</v>
      </c>
      <c r="D90" t="s">
        <v>32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48</v>
      </c>
      <c r="B91" s="2">
        <v>45689</v>
      </c>
      <c r="C91" t="s">
        <v>28</v>
      </c>
      <c r="D91" t="s">
        <v>32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48</v>
      </c>
      <c r="B92" s="2">
        <v>45717</v>
      </c>
      <c r="C92" t="s">
        <v>28</v>
      </c>
      <c r="D92" t="s">
        <v>32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48</v>
      </c>
      <c r="B93" s="2">
        <v>45748</v>
      </c>
      <c r="C93" t="s">
        <v>28</v>
      </c>
      <c r="D93" t="s">
        <v>32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49</v>
      </c>
      <c r="B94" s="2">
        <v>45658</v>
      </c>
      <c r="C94" t="s">
        <v>31</v>
      </c>
      <c r="D94" t="s">
        <v>20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49</v>
      </c>
      <c r="B95" s="2">
        <v>45689</v>
      </c>
      <c r="C95" t="s">
        <v>31</v>
      </c>
      <c r="D95" t="s">
        <v>20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49</v>
      </c>
      <c r="B96" s="2">
        <v>45717</v>
      </c>
      <c r="C96" t="s">
        <v>31</v>
      </c>
      <c r="D96" t="s">
        <v>20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49</v>
      </c>
      <c r="B97" s="2">
        <v>45748</v>
      </c>
      <c r="C97" t="s">
        <v>31</v>
      </c>
      <c r="D97" t="s">
        <v>20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50</v>
      </c>
      <c r="B98" s="2">
        <v>45658</v>
      </c>
      <c r="C98" t="s">
        <v>31</v>
      </c>
      <c r="D98" t="s">
        <v>32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50</v>
      </c>
      <c r="B99" s="2">
        <v>45689</v>
      </c>
      <c r="C99" t="s">
        <v>31</v>
      </c>
      <c r="D99" t="s">
        <v>32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50</v>
      </c>
      <c r="B100" s="2">
        <v>45717</v>
      </c>
      <c r="C100" t="s">
        <v>31</v>
      </c>
      <c r="D100" t="s">
        <v>32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50</v>
      </c>
      <c r="B101" s="2">
        <v>45748</v>
      </c>
      <c r="C101" t="s">
        <v>31</v>
      </c>
      <c r="D101" t="s">
        <v>32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51</v>
      </c>
      <c r="B102" s="2">
        <v>45658</v>
      </c>
      <c r="C102" t="s">
        <v>19</v>
      </c>
      <c r="D102" t="s">
        <v>32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51</v>
      </c>
      <c r="B103" s="2">
        <v>45689</v>
      </c>
      <c r="C103" t="s">
        <v>19</v>
      </c>
      <c r="D103" t="s">
        <v>32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51</v>
      </c>
      <c r="B104" s="2">
        <v>45717</v>
      </c>
      <c r="C104" t="s">
        <v>19</v>
      </c>
      <c r="D104" t="s">
        <v>32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51</v>
      </c>
      <c r="B105" s="2">
        <v>45748</v>
      </c>
      <c r="C105" t="s">
        <v>19</v>
      </c>
      <c r="D105" t="s">
        <v>32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52</v>
      </c>
      <c r="B106" s="2">
        <v>45658</v>
      </c>
      <c r="C106" t="s">
        <v>31</v>
      </c>
      <c r="D106" t="s">
        <v>22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52</v>
      </c>
      <c r="B107" s="2">
        <v>45689</v>
      </c>
      <c r="C107" t="s">
        <v>31</v>
      </c>
      <c r="D107" t="s">
        <v>22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52</v>
      </c>
      <c r="B108" s="2">
        <v>45717</v>
      </c>
      <c r="C108" t="s">
        <v>31</v>
      </c>
      <c r="D108" t="s">
        <v>22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52</v>
      </c>
      <c r="B109" s="2">
        <v>45748</v>
      </c>
      <c r="C109" t="s">
        <v>31</v>
      </c>
      <c r="D109" t="s">
        <v>22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53</v>
      </c>
      <c r="B110" s="2">
        <v>45658</v>
      </c>
      <c r="C110" t="s">
        <v>19</v>
      </c>
      <c r="D110" t="s">
        <v>32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53</v>
      </c>
      <c r="B111" s="2">
        <v>45689</v>
      </c>
      <c r="C111" t="s">
        <v>19</v>
      </c>
      <c r="D111" t="s">
        <v>32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53</v>
      </c>
      <c r="B112" s="2">
        <v>45717</v>
      </c>
      <c r="C112" t="s">
        <v>19</v>
      </c>
      <c r="D112" t="s">
        <v>32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53</v>
      </c>
      <c r="B113" s="2">
        <v>45748</v>
      </c>
      <c r="C113" t="s">
        <v>19</v>
      </c>
      <c r="D113" t="s">
        <v>32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54</v>
      </c>
      <c r="B114" s="2">
        <v>45658</v>
      </c>
      <c r="C114" t="s">
        <v>31</v>
      </c>
      <c r="D114" t="s">
        <v>32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54</v>
      </c>
      <c r="B115" s="2">
        <v>45689</v>
      </c>
      <c r="C115" t="s">
        <v>31</v>
      </c>
      <c r="D115" t="s">
        <v>32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54</v>
      </c>
      <c r="B116" s="2">
        <v>45717</v>
      </c>
      <c r="C116" t="s">
        <v>31</v>
      </c>
      <c r="D116" t="s">
        <v>32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54</v>
      </c>
      <c r="B117" s="2">
        <v>45748</v>
      </c>
      <c r="C117" t="s">
        <v>31</v>
      </c>
      <c r="D117" t="s">
        <v>32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55</v>
      </c>
      <c r="B118" s="2">
        <v>45658</v>
      </c>
      <c r="C118" t="s">
        <v>31</v>
      </c>
      <c r="D118" t="s">
        <v>20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55</v>
      </c>
      <c r="B119" s="2">
        <v>45689</v>
      </c>
      <c r="C119" t="s">
        <v>31</v>
      </c>
      <c r="D119" t="s">
        <v>20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55</v>
      </c>
      <c r="B120" s="2">
        <v>45717</v>
      </c>
      <c r="C120" t="s">
        <v>31</v>
      </c>
      <c r="D120" t="s">
        <v>20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55</v>
      </c>
      <c r="B121" s="2">
        <v>45748</v>
      </c>
      <c r="C121" t="s">
        <v>31</v>
      </c>
      <c r="D121" t="s">
        <v>20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56</v>
      </c>
      <c r="B122" s="2">
        <v>45658</v>
      </c>
      <c r="C122" t="s">
        <v>24</v>
      </c>
      <c r="D122" t="s">
        <v>22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56</v>
      </c>
      <c r="B123" s="2">
        <v>45689</v>
      </c>
      <c r="C123" t="s">
        <v>24</v>
      </c>
      <c r="D123" t="s">
        <v>22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56</v>
      </c>
      <c r="B124" s="2">
        <v>45717</v>
      </c>
      <c r="C124" t="s">
        <v>24</v>
      </c>
      <c r="D124" t="s">
        <v>22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56</v>
      </c>
      <c r="B125" s="2">
        <v>45748</v>
      </c>
      <c r="C125" t="s">
        <v>24</v>
      </c>
      <c r="D125" t="s">
        <v>22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57</v>
      </c>
      <c r="B126" s="2">
        <v>45658</v>
      </c>
      <c r="C126" t="s">
        <v>28</v>
      </c>
      <c r="D126" t="s">
        <v>22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57</v>
      </c>
      <c r="B127" s="2">
        <v>45689</v>
      </c>
      <c r="C127" t="s">
        <v>28</v>
      </c>
      <c r="D127" t="s">
        <v>22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57</v>
      </c>
      <c r="B128" s="2">
        <v>45717</v>
      </c>
      <c r="C128" t="s">
        <v>28</v>
      </c>
      <c r="D128" t="s">
        <v>22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57</v>
      </c>
      <c r="B129" s="2">
        <v>45748</v>
      </c>
      <c r="C129" t="s">
        <v>28</v>
      </c>
      <c r="D129" t="s">
        <v>22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58</v>
      </c>
      <c r="B130" s="2">
        <v>45658</v>
      </c>
      <c r="C130" t="s">
        <v>19</v>
      </c>
      <c r="D130" t="s">
        <v>22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58</v>
      </c>
      <c r="B131" s="2">
        <v>45689</v>
      </c>
      <c r="C131" t="s">
        <v>19</v>
      </c>
      <c r="D131" t="s">
        <v>22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58</v>
      </c>
      <c r="B132" s="2">
        <v>45717</v>
      </c>
      <c r="C132" t="s">
        <v>19</v>
      </c>
      <c r="D132" t="s">
        <v>22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58</v>
      </c>
      <c r="B133" s="2">
        <v>45748</v>
      </c>
      <c r="C133" t="s">
        <v>19</v>
      </c>
      <c r="D133" t="s">
        <v>22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59</v>
      </c>
      <c r="B134" s="2">
        <v>45658</v>
      </c>
      <c r="C134" t="s">
        <v>24</v>
      </c>
      <c r="D134" t="s">
        <v>22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59</v>
      </c>
      <c r="B135" s="2">
        <v>45689</v>
      </c>
      <c r="C135" t="s">
        <v>24</v>
      </c>
      <c r="D135" t="s">
        <v>22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59</v>
      </c>
      <c r="B136" s="2">
        <v>45717</v>
      </c>
      <c r="C136" t="s">
        <v>24</v>
      </c>
      <c r="D136" t="s">
        <v>22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59</v>
      </c>
      <c r="B137" s="2">
        <v>45748</v>
      </c>
      <c r="C137" t="s">
        <v>24</v>
      </c>
      <c r="D137" t="s">
        <v>22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60</v>
      </c>
      <c r="B138" s="2">
        <v>45658</v>
      </c>
      <c r="C138" t="s">
        <v>28</v>
      </c>
      <c r="D138" t="s">
        <v>20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60</v>
      </c>
      <c r="B139" s="2">
        <v>45689</v>
      </c>
      <c r="C139" t="s">
        <v>28</v>
      </c>
      <c r="D139" t="s">
        <v>20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60</v>
      </c>
      <c r="B140" s="2">
        <v>45717</v>
      </c>
      <c r="C140" t="s">
        <v>28</v>
      </c>
      <c r="D140" t="s">
        <v>20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60</v>
      </c>
      <c r="B141" s="2">
        <v>45748</v>
      </c>
      <c r="C141" t="s">
        <v>28</v>
      </c>
      <c r="D141" t="s">
        <v>20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61</v>
      </c>
      <c r="B142" s="2">
        <v>45658</v>
      </c>
      <c r="C142" t="s">
        <v>31</v>
      </c>
      <c r="D142" t="s">
        <v>22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61</v>
      </c>
      <c r="B143" s="2">
        <v>45689</v>
      </c>
      <c r="C143" t="s">
        <v>31</v>
      </c>
      <c r="D143" t="s">
        <v>22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61</v>
      </c>
      <c r="B144" s="2">
        <v>45717</v>
      </c>
      <c r="C144" t="s">
        <v>31</v>
      </c>
      <c r="D144" t="s">
        <v>22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61</v>
      </c>
      <c r="B145" s="2">
        <v>45748</v>
      </c>
      <c r="C145" t="s">
        <v>31</v>
      </c>
      <c r="D145" t="s">
        <v>22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62</v>
      </c>
      <c r="B146" s="2">
        <v>45658</v>
      </c>
      <c r="C146" t="s">
        <v>24</v>
      </c>
      <c r="D146" t="s">
        <v>20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62</v>
      </c>
      <c r="B147" s="2">
        <v>45689</v>
      </c>
      <c r="C147" t="s">
        <v>24</v>
      </c>
      <c r="D147" t="s">
        <v>20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62</v>
      </c>
      <c r="B148" s="2">
        <v>45717</v>
      </c>
      <c r="C148" t="s">
        <v>24</v>
      </c>
      <c r="D148" t="s">
        <v>20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62</v>
      </c>
      <c r="B149" s="2">
        <v>45748</v>
      </c>
      <c r="C149" t="s">
        <v>24</v>
      </c>
      <c r="D149" t="s">
        <v>20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63</v>
      </c>
      <c r="B150" s="2">
        <v>45658</v>
      </c>
      <c r="C150" t="s">
        <v>28</v>
      </c>
      <c r="D150" t="s">
        <v>32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63</v>
      </c>
      <c r="B151" s="2">
        <v>45689</v>
      </c>
      <c r="C151" t="s">
        <v>28</v>
      </c>
      <c r="D151" t="s">
        <v>32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63</v>
      </c>
      <c r="B152" s="2">
        <v>45717</v>
      </c>
      <c r="C152" t="s">
        <v>28</v>
      </c>
      <c r="D152" t="s">
        <v>32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63</v>
      </c>
      <c r="B153" s="2">
        <v>45748</v>
      </c>
      <c r="C153" t="s">
        <v>28</v>
      </c>
      <c r="D153" t="s">
        <v>32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64</v>
      </c>
      <c r="B154" s="2">
        <v>45658</v>
      </c>
      <c r="C154" t="s">
        <v>19</v>
      </c>
      <c r="D154" t="s">
        <v>22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64</v>
      </c>
      <c r="B155" s="2">
        <v>45689</v>
      </c>
      <c r="C155" t="s">
        <v>19</v>
      </c>
      <c r="D155" t="s">
        <v>22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64</v>
      </c>
      <c r="B156" s="2">
        <v>45717</v>
      </c>
      <c r="C156" t="s">
        <v>19</v>
      </c>
      <c r="D156" t="s">
        <v>22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64</v>
      </c>
      <c r="B157" s="2">
        <v>45748</v>
      </c>
      <c r="C157" t="s">
        <v>19</v>
      </c>
      <c r="D157" t="s">
        <v>22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65</v>
      </c>
      <c r="B158" s="2">
        <v>45658</v>
      </c>
      <c r="C158" t="s">
        <v>24</v>
      </c>
      <c r="D158" t="s">
        <v>32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65</v>
      </c>
      <c r="B159" s="2">
        <v>45689</v>
      </c>
      <c r="C159" t="s">
        <v>24</v>
      </c>
      <c r="D159" t="s">
        <v>32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65</v>
      </c>
      <c r="B160" s="2">
        <v>45717</v>
      </c>
      <c r="C160" t="s">
        <v>24</v>
      </c>
      <c r="D160" t="s">
        <v>32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65</v>
      </c>
      <c r="B161" s="2">
        <v>45748</v>
      </c>
      <c r="C161" t="s">
        <v>24</v>
      </c>
      <c r="D161" t="s">
        <v>32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66</v>
      </c>
      <c r="B162" s="2">
        <v>45658</v>
      </c>
      <c r="C162" t="s">
        <v>28</v>
      </c>
      <c r="D162" t="s">
        <v>22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66</v>
      </c>
      <c r="B163" s="2">
        <v>45689</v>
      </c>
      <c r="C163" t="s">
        <v>28</v>
      </c>
      <c r="D163" t="s">
        <v>22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66</v>
      </c>
      <c r="B164" s="2">
        <v>45717</v>
      </c>
      <c r="C164" t="s">
        <v>28</v>
      </c>
      <c r="D164" t="s">
        <v>22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66</v>
      </c>
      <c r="B165" s="2">
        <v>45748</v>
      </c>
      <c r="C165" t="s">
        <v>28</v>
      </c>
      <c r="D165" t="s">
        <v>22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67</v>
      </c>
      <c r="B166" s="2">
        <v>45658</v>
      </c>
      <c r="C166" t="s">
        <v>24</v>
      </c>
      <c r="D166" t="s">
        <v>32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67</v>
      </c>
      <c r="B167" s="2">
        <v>45689</v>
      </c>
      <c r="C167" t="s">
        <v>24</v>
      </c>
      <c r="D167" t="s">
        <v>32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67</v>
      </c>
      <c r="B168" s="2">
        <v>45717</v>
      </c>
      <c r="C168" t="s">
        <v>24</v>
      </c>
      <c r="D168" t="s">
        <v>32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67</v>
      </c>
      <c r="B169" s="2">
        <v>45748</v>
      </c>
      <c r="C169" t="s">
        <v>24</v>
      </c>
      <c r="D169" t="s">
        <v>32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68</v>
      </c>
      <c r="B170" s="2">
        <v>45658</v>
      </c>
      <c r="C170" t="s">
        <v>19</v>
      </c>
      <c r="D170" t="s">
        <v>20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68</v>
      </c>
      <c r="B171" s="2">
        <v>45689</v>
      </c>
      <c r="C171" t="s">
        <v>19</v>
      </c>
      <c r="D171" t="s">
        <v>20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68</v>
      </c>
      <c r="B172" s="2">
        <v>45717</v>
      </c>
      <c r="C172" t="s">
        <v>19</v>
      </c>
      <c r="D172" t="s">
        <v>20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68</v>
      </c>
      <c r="B173" s="2">
        <v>45748</v>
      </c>
      <c r="C173" t="s">
        <v>19</v>
      </c>
      <c r="D173" t="s">
        <v>20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69</v>
      </c>
      <c r="B174" s="2">
        <v>45658</v>
      </c>
      <c r="C174" t="s">
        <v>19</v>
      </c>
      <c r="D174" t="s">
        <v>20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69</v>
      </c>
      <c r="B175" s="2">
        <v>45689</v>
      </c>
      <c r="C175" t="s">
        <v>19</v>
      </c>
      <c r="D175" t="s">
        <v>20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69</v>
      </c>
      <c r="B176" s="2">
        <v>45717</v>
      </c>
      <c r="C176" t="s">
        <v>19</v>
      </c>
      <c r="D176" t="s">
        <v>20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69</v>
      </c>
      <c r="B177" s="2">
        <v>45748</v>
      </c>
      <c r="C177" t="s">
        <v>19</v>
      </c>
      <c r="D177" t="s">
        <v>20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70</v>
      </c>
      <c r="B178" s="2">
        <v>45658</v>
      </c>
      <c r="C178" t="s">
        <v>31</v>
      </c>
      <c r="D178" t="s">
        <v>25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70</v>
      </c>
      <c r="B179" s="2">
        <v>45689</v>
      </c>
      <c r="C179" t="s">
        <v>31</v>
      </c>
      <c r="D179" t="s">
        <v>25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70</v>
      </c>
      <c r="B180" s="2">
        <v>45717</v>
      </c>
      <c r="C180" t="s">
        <v>31</v>
      </c>
      <c r="D180" t="s">
        <v>25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70</v>
      </c>
      <c r="B181" s="2">
        <v>45748</v>
      </c>
      <c r="C181" t="s">
        <v>31</v>
      </c>
      <c r="D181" t="s">
        <v>25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71</v>
      </c>
      <c r="B182" s="2">
        <v>45658</v>
      </c>
      <c r="C182" t="s">
        <v>31</v>
      </c>
      <c r="D182" t="s">
        <v>20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71</v>
      </c>
      <c r="B183" s="2">
        <v>45689</v>
      </c>
      <c r="C183" t="s">
        <v>31</v>
      </c>
      <c r="D183" t="s">
        <v>20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71</v>
      </c>
      <c r="B184" s="2">
        <v>45717</v>
      </c>
      <c r="C184" t="s">
        <v>31</v>
      </c>
      <c r="D184" t="s">
        <v>20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71</v>
      </c>
      <c r="B185" s="2">
        <v>45748</v>
      </c>
      <c r="C185" t="s">
        <v>31</v>
      </c>
      <c r="D185" t="s">
        <v>20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72</v>
      </c>
      <c r="B186" s="2">
        <v>45658</v>
      </c>
      <c r="C186" t="s">
        <v>24</v>
      </c>
      <c r="D186" t="s">
        <v>22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72</v>
      </c>
      <c r="B187" s="2">
        <v>45689</v>
      </c>
      <c r="C187" t="s">
        <v>24</v>
      </c>
      <c r="D187" t="s">
        <v>22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72</v>
      </c>
      <c r="B188" s="2">
        <v>45717</v>
      </c>
      <c r="C188" t="s">
        <v>24</v>
      </c>
      <c r="D188" t="s">
        <v>22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72</v>
      </c>
      <c r="B189" s="2">
        <v>45748</v>
      </c>
      <c r="C189" t="s">
        <v>24</v>
      </c>
      <c r="D189" t="s">
        <v>22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73</v>
      </c>
      <c r="B190" s="2">
        <v>45658</v>
      </c>
      <c r="C190" t="s">
        <v>19</v>
      </c>
      <c r="D190" t="s">
        <v>22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73</v>
      </c>
      <c r="B191" s="2">
        <v>45689</v>
      </c>
      <c r="C191" t="s">
        <v>19</v>
      </c>
      <c r="D191" t="s">
        <v>22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73</v>
      </c>
      <c r="B192" s="2">
        <v>45717</v>
      </c>
      <c r="C192" t="s">
        <v>19</v>
      </c>
      <c r="D192" t="s">
        <v>22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73</v>
      </c>
      <c r="B193" s="2">
        <v>45748</v>
      </c>
      <c r="C193" t="s">
        <v>19</v>
      </c>
      <c r="D193" t="s">
        <v>22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74</v>
      </c>
      <c r="B194" s="2">
        <v>45658</v>
      </c>
      <c r="C194" t="s">
        <v>31</v>
      </c>
      <c r="D194" t="s">
        <v>20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74</v>
      </c>
      <c r="B195" s="2">
        <v>45689</v>
      </c>
      <c r="C195" t="s">
        <v>31</v>
      </c>
      <c r="D195" t="s">
        <v>20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74</v>
      </c>
      <c r="B196" s="2">
        <v>45717</v>
      </c>
      <c r="C196" t="s">
        <v>31</v>
      </c>
      <c r="D196" t="s">
        <v>20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74</v>
      </c>
      <c r="B197" s="2">
        <v>45748</v>
      </c>
      <c r="C197" t="s">
        <v>31</v>
      </c>
      <c r="D197" t="s">
        <v>20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75</v>
      </c>
      <c r="B198" s="2">
        <v>45658</v>
      </c>
      <c r="C198" t="s">
        <v>24</v>
      </c>
      <c r="D198" t="s">
        <v>20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75</v>
      </c>
      <c r="B199" s="2">
        <v>45689</v>
      </c>
      <c r="C199" t="s">
        <v>24</v>
      </c>
      <c r="D199" t="s">
        <v>20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75</v>
      </c>
      <c r="B200" s="2">
        <v>45717</v>
      </c>
      <c r="C200" t="s">
        <v>24</v>
      </c>
      <c r="D200" t="s">
        <v>20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75</v>
      </c>
      <c r="B201" s="2">
        <v>45748</v>
      </c>
      <c r="C201" t="s">
        <v>24</v>
      </c>
      <c r="D201" t="s">
        <v>20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76</v>
      </c>
      <c r="B202" s="2">
        <v>45658</v>
      </c>
      <c r="C202" t="s">
        <v>19</v>
      </c>
      <c r="D202" t="s">
        <v>25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76</v>
      </c>
      <c r="B203" s="2">
        <v>45689</v>
      </c>
      <c r="C203" t="s">
        <v>19</v>
      </c>
      <c r="D203" t="s">
        <v>25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76</v>
      </c>
      <c r="B204" s="2">
        <v>45717</v>
      </c>
      <c r="C204" t="s">
        <v>19</v>
      </c>
      <c r="D204" t="s">
        <v>25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76</v>
      </c>
      <c r="B205" s="2">
        <v>45748</v>
      </c>
      <c r="C205" t="s">
        <v>19</v>
      </c>
      <c r="D205" t="s">
        <v>25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77</v>
      </c>
      <c r="B206" s="2">
        <v>45658</v>
      </c>
      <c r="C206" t="s">
        <v>19</v>
      </c>
      <c r="D206" t="s">
        <v>32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77</v>
      </c>
      <c r="B207" s="2">
        <v>45689</v>
      </c>
      <c r="C207" t="s">
        <v>19</v>
      </c>
      <c r="D207" t="s">
        <v>32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77</v>
      </c>
      <c r="B208" s="2">
        <v>45717</v>
      </c>
      <c r="C208" t="s">
        <v>19</v>
      </c>
      <c r="D208" t="s">
        <v>32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77</v>
      </c>
      <c r="B209" s="2">
        <v>45748</v>
      </c>
      <c r="C209" t="s">
        <v>19</v>
      </c>
      <c r="D209" t="s">
        <v>32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78</v>
      </c>
      <c r="B210" s="2">
        <v>45658</v>
      </c>
      <c r="C210" t="s">
        <v>19</v>
      </c>
      <c r="D210" t="s">
        <v>22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78</v>
      </c>
      <c r="B211" s="2">
        <v>45689</v>
      </c>
      <c r="C211" t="s">
        <v>19</v>
      </c>
      <c r="D211" t="s">
        <v>22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78</v>
      </c>
      <c r="B212" s="2">
        <v>45717</v>
      </c>
      <c r="C212" t="s">
        <v>19</v>
      </c>
      <c r="D212" t="s">
        <v>22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78</v>
      </c>
      <c r="B213" s="2">
        <v>45748</v>
      </c>
      <c r="C213" t="s">
        <v>19</v>
      </c>
      <c r="D213" t="s">
        <v>22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79</v>
      </c>
      <c r="B214" s="2">
        <v>45658</v>
      </c>
      <c r="C214" t="s">
        <v>31</v>
      </c>
      <c r="D214" t="s">
        <v>20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79</v>
      </c>
      <c r="B215" s="2">
        <v>45689</v>
      </c>
      <c r="C215" t="s">
        <v>31</v>
      </c>
      <c r="D215" t="s">
        <v>20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79</v>
      </c>
      <c r="B216" s="2">
        <v>45717</v>
      </c>
      <c r="C216" t="s">
        <v>31</v>
      </c>
      <c r="D216" t="s">
        <v>20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79</v>
      </c>
      <c r="B217" s="2">
        <v>45748</v>
      </c>
      <c r="C217" t="s">
        <v>31</v>
      </c>
      <c r="D217" t="s">
        <v>20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80</v>
      </c>
      <c r="B218" s="2">
        <v>45658</v>
      </c>
      <c r="C218" t="s">
        <v>24</v>
      </c>
      <c r="D218" t="s">
        <v>25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80</v>
      </c>
      <c r="B219" s="2">
        <v>45689</v>
      </c>
      <c r="C219" t="s">
        <v>24</v>
      </c>
      <c r="D219" t="s">
        <v>25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80</v>
      </c>
      <c r="B220" s="2">
        <v>45717</v>
      </c>
      <c r="C220" t="s">
        <v>24</v>
      </c>
      <c r="D220" t="s">
        <v>25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80</v>
      </c>
      <c r="B221" s="2">
        <v>45748</v>
      </c>
      <c r="C221" t="s">
        <v>24</v>
      </c>
      <c r="D221" t="s">
        <v>25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81</v>
      </c>
      <c r="B222" s="2">
        <v>45658</v>
      </c>
      <c r="C222" t="s">
        <v>19</v>
      </c>
      <c r="D222" t="s">
        <v>22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81</v>
      </c>
      <c r="B223" s="2">
        <v>45689</v>
      </c>
      <c r="C223" t="s">
        <v>19</v>
      </c>
      <c r="D223" t="s">
        <v>22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81</v>
      </c>
      <c r="B224" s="2">
        <v>45717</v>
      </c>
      <c r="C224" t="s">
        <v>19</v>
      </c>
      <c r="D224" t="s">
        <v>22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81</v>
      </c>
      <c r="B225" s="2">
        <v>45748</v>
      </c>
      <c r="C225" t="s">
        <v>19</v>
      </c>
      <c r="D225" t="s">
        <v>22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82</v>
      </c>
      <c r="B226" s="2">
        <v>45658</v>
      </c>
      <c r="C226" t="s">
        <v>19</v>
      </c>
      <c r="D226" t="s">
        <v>32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82</v>
      </c>
      <c r="B227" s="2">
        <v>45689</v>
      </c>
      <c r="C227" t="s">
        <v>19</v>
      </c>
      <c r="D227" t="s">
        <v>32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82</v>
      </c>
      <c r="B228" s="2">
        <v>45717</v>
      </c>
      <c r="C228" t="s">
        <v>19</v>
      </c>
      <c r="D228" t="s">
        <v>32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82</v>
      </c>
      <c r="B229" s="2">
        <v>45748</v>
      </c>
      <c r="C229" t="s">
        <v>19</v>
      </c>
      <c r="D229" t="s">
        <v>32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83</v>
      </c>
      <c r="B230" s="2">
        <v>45658</v>
      </c>
      <c r="C230" t="s">
        <v>19</v>
      </c>
      <c r="D230" t="s">
        <v>22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83</v>
      </c>
      <c r="B231" s="2">
        <v>45689</v>
      </c>
      <c r="C231" t="s">
        <v>19</v>
      </c>
      <c r="D231" t="s">
        <v>22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83</v>
      </c>
      <c r="B232" s="2">
        <v>45717</v>
      </c>
      <c r="C232" t="s">
        <v>19</v>
      </c>
      <c r="D232" t="s">
        <v>22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83</v>
      </c>
      <c r="B233" s="2">
        <v>45748</v>
      </c>
      <c r="C233" t="s">
        <v>19</v>
      </c>
      <c r="D233" t="s">
        <v>22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84</v>
      </c>
      <c r="B234" s="2">
        <v>45658</v>
      </c>
      <c r="C234" t="s">
        <v>31</v>
      </c>
      <c r="D234" t="s">
        <v>20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84</v>
      </c>
      <c r="B235" s="2">
        <v>45689</v>
      </c>
      <c r="C235" t="s">
        <v>31</v>
      </c>
      <c r="D235" t="s">
        <v>20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84</v>
      </c>
      <c r="B236" s="2">
        <v>45717</v>
      </c>
      <c r="C236" t="s">
        <v>31</v>
      </c>
      <c r="D236" t="s">
        <v>20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84</v>
      </c>
      <c r="B237" s="2">
        <v>45748</v>
      </c>
      <c r="C237" t="s">
        <v>31</v>
      </c>
      <c r="D237" t="s">
        <v>20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85</v>
      </c>
      <c r="B238" s="2">
        <v>45658</v>
      </c>
      <c r="C238" t="s">
        <v>31</v>
      </c>
      <c r="D238" t="s">
        <v>32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85</v>
      </c>
      <c r="B239" s="2">
        <v>45689</v>
      </c>
      <c r="C239" t="s">
        <v>31</v>
      </c>
      <c r="D239" t="s">
        <v>32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85</v>
      </c>
      <c r="B240" s="2">
        <v>45717</v>
      </c>
      <c r="C240" t="s">
        <v>31</v>
      </c>
      <c r="D240" t="s">
        <v>32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85</v>
      </c>
      <c r="B241" s="2">
        <v>45748</v>
      </c>
      <c r="C241" t="s">
        <v>31</v>
      </c>
      <c r="D241" t="s">
        <v>32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86</v>
      </c>
      <c r="B242" s="2">
        <v>45658</v>
      </c>
      <c r="C242" t="s">
        <v>28</v>
      </c>
      <c r="D242" t="s">
        <v>25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86</v>
      </c>
      <c r="B243" s="2">
        <v>45689</v>
      </c>
      <c r="C243" t="s">
        <v>28</v>
      </c>
      <c r="D243" t="s">
        <v>25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86</v>
      </c>
      <c r="B244" s="2">
        <v>45717</v>
      </c>
      <c r="C244" t="s">
        <v>28</v>
      </c>
      <c r="D244" t="s">
        <v>25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86</v>
      </c>
      <c r="B245" s="2">
        <v>45748</v>
      </c>
      <c r="C245" t="s">
        <v>28</v>
      </c>
      <c r="D245" t="s">
        <v>25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87</v>
      </c>
      <c r="B246" s="2">
        <v>45658</v>
      </c>
      <c r="C246" t="s">
        <v>19</v>
      </c>
      <c r="D246" t="s">
        <v>22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87</v>
      </c>
      <c r="B247" s="2">
        <v>45689</v>
      </c>
      <c r="C247" t="s">
        <v>19</v>
      </c>
      <c r="D247" t="s">
        <v>22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87</v>
      </c>
      <c r="B248" s="2">
        <v>45717</v>
      </c>
      <c r="C248" t="s">
        <v>19</v>
      </c>
      <c r="D248" t="s">
        <v>22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87</v>
      </c>
      <c r="B249" s="2">
        <v>45748</v>
      </c>
      <c r="C249" t="s">
        <v>19</v>
      </c>
      <c r="D249" t="s">
        <v>22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88</v>
      </c>
      <c r="B250" s="2">
        <v>45658</v>
      </c>
      <c r="C250" t="s">
        <v>24</v>
      </c>
      <c r="D250" t="s">
        <v>22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88</v>
      </c>
      <c r="B251" s="2">
        <v>45689</v>
      </c>
      <c r="C251" t="s">
        <v>24</v>
      </c>
      <c r="D251" t="s">
        <v>22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88</v>
      </c>
      <c r="B252" s="2">
        <v>45717</v>
      </c>
      <c r="C252" t="s">
        <v>24</v>
      </c>
      <c r="D252" t="s">
        <v>22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88</v>
      </c>
      <c r="B253" s="2">
        <v>45748</v>
      </c>
      <c r="C253" t="s">
        <v>24</v>
      </c>
      <c r="D253" t="s">
        <v>22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89</v>
      </c>
      <c r="B254" s="2">
        <v>45658</v>
      </c>
      <c r="C254" t="s">
        <v>28</v>
      </c>
      <c r="D254" t="s">
        <v>25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89</v>
      </c>
      <c r="B255" s="2">
        <v>45689</v>
      </c>
      <c r="C255" t="s">
        <v>28</v>
      </c>
      <c r="D255" t="s">
        <v>25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89</v>
      </c>
      <c r="B256" s="2">
        <v>45717</v>
      </c>
      <c r="C256" t="s">
        <v>28</v>
      </c>
      <c r="D256" t="s">
        <v>25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89</v>
      </c>
      <c r="B257" s="2">
        <v>45748</v>
      </c>
      <c r="C257" t="s">
        <v>28</v>
      </c>
      <c r="D257" t="s">
        <v>25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90</v>
      </c>
      <c r="B258" s="2">
        <v>45658</v>
      </c>
      <c r="C258" t="s">
        <v>28</v>
      </c>
      <c r="D258" t="s">
        <v>32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90</v>
      </c>
      <c r="B259" s="2">
        <v>45689</v>
      </c>
      <c r="C259" t="s">
        <v>28</v>
      </c>
      <c r="D259" t="s">
        <v>32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90</v>
      </c>
      <c r="B260" s="2">
        <v>45717</v>
      </c>
      <c r="C260" t="s">
        <v>28</v>
      </c>
      <c r="D260" t="s">
        <v>32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90</v>
      </c>
      <c r="B261" s="2">
        <v>45748</v>
      </c>
      <c r="C261" t="s">
        <v>28</v>
      </c>
      <c r="D261" t="s">
        <v>32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91</v>
      </c>
      <c r="B262" s="2">
        <v>45658</v>
      </c>
      <c r="C262" t="s">
        <v>31</v>
      </c>
      <c r="D262" t="s">
        <v>22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91</v>
      </c>
      <c r="B263" s="2">
        <v>45689</v>
      </c>
      <c r="C263" t="s">
        <v>31</v>
      </c>
      <c r="D263" t="s">
        <v>22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91</v>
      </c>
      <c r="B264" s="2">
        <v>45717</v>
      </c>
      <c r="C264" t="s">
        <v>31</v>
      </c>
      <c r="D264" t="s">
        <v>22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91</v>
      </c>
      <c r="B265" s="2">
        <v>45748</v>
      </c>
      <c r="C265" t="s">
        <v>31</v>
      </c>
      <c r="D265" t="s">
        <v>22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92</v>
      </c>
      <c r="B266" s="2">
        <v>45658</v>
      </c>
      <c r="C266" t="s">
        <v>19</v>
      </c>
      <c r="D266" t="s">
        <v>22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92</v>
      </c>
      <c r="B267" s="2">
        <v>45689</v>
      </c>
      <c r="C267" t="s">
        <v>19</v>
      </c>
      <c r="D267" t="s">
        <v>22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92</v>
      </c>
      <c r="B268" s="2">
        <v>45717</v>
      </c>
      <c r="C268" t="s">
        <v>19</v>
      </c>
      <c r="D268" t="s">
        <v>22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92</v>
      </c>
      <c r="B269" s="2">
        <v>45748</v>
      </c>
      <c r="C269" t="s">
        <v>19</v>
      </c>
      <c r="D269" t="s">
        <v>22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93</v>
      </c>
      <c r="B270" s="2">
        <v>45658</v>
      </c>
      <c r="C270" t="s">
        <v>19</v>
      </c>
      <c r="D270" t="s">
        <v>32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93</v>
      </c>
      <c r="B271" s="2">
        <v>45689</v>
      </c>
      <c r="C271" t="s">
        <v>19</v>
      </c>
      <c r="D271" t="s">
        <v>32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93</v>
      </c>
      <c r="B272" s="2">
        <v>45717</v>
      </c>
      <c r="C272" t="s">
        <v>19</v>
      </c>
      <c r="D272" t="s">
        <v>32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93</v>
      </c>
      <c r="B273" s="2">
        <v>45748</v>
      </c>
      <c r="C273" t="s">
        <v>19</v>
      </c>
      <c r="D273" t="s">
        <v>32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94</v>
      </c>
      <c r="B274" s="2">
        <v>45658</v>
      </c>
      <c r="C274" t="s">
        <v>31</v>
      </c>
      <c r="D274" t="s">
        <v>22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94</v>
      </c>
      <c r="B275" s="2">
        <v>45689</v>
      </c>
      <c r="C275" t="s">
        <v>31</v>
      </c>
      <c r="D275" t="s">
        <v>22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94</v>
      </c>
      <c r="B276" s="2">
        <v>45717</v>
      </c>
      <c r="C276" t="s">
        <v>31</v>
      </c>
      <c r="D276" t="s">
        <v>22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94</v>
      </c>
      <c r="B277" s="2">
        <v>45748</v>
      </c>
      <c r="C277" t="s">
        <v>31</v>
      </c>
      <c r="D277" t="s">
        <v>22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95</v>
      </c>
      <c r="B278" s="2">
        <v>45658</v>
      </c>
      <c r="C278" t="s">
        <v>28</v>
      </c>
      <c r="D278" t="s">
        <v>20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95</v>
      </c>
      <c r="B279" s="2">
        <v>45689</v>
      </c>
      <c r="C279" t="s">
        <v>28</v>
      </c>
      <c r="D279" t="s">
        <v>20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95</v>
      </c>
      <c r="B280" s="2">
        <v>45717</v>
      </c>
      <c r="C280" t="s">
        <v>28</v>
      </c>
      <c r="D280" t="s">
        <v>20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95</v>
      </c>
      <c r="B281" s="2">
        <v>45748</v>
      </c>
      <c r="C281" t="s">
        <v>28</v>
      </c>
      <c r="D281" t="s">
        <v>20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96</v>
      </c>
      <c r="B282" s="2">
        <v>45658</v>
      </c>
      <c r="C282" t="s">
        <v>28</v>
      </c>
      <c r="D282" t="s">
        <v>22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96</v>
      </c>
      <c r="B283" s="2">
        <v>45689</v>
      </c>
      <c r="C283" t="s">
        <v>28</v>
      </c>
      <c r="D283" t="s">
        <v>22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96</v>
      </c>
      <c r="B284" s="2">
        <v>45717</v>
      </c>
      <c r="C284" t="s">
        <v>28</v>
      </c>
      <c r="D284" t="s">
        <v>22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96</v>
      </c>
      <c r="B285" s="2">
        <v>45748</v>
      </c>
      <c r="C285" t="s">
        <v>28</v>
      </c>
      <c r="D285" t="s">
        <v>22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97</v>
      </c>
      <c r="B286" s="2">
        <v>45658</v>
      </c>
      <c r="C286" t="s">
        <v>31</v>
      </c>
      <c r="D286" t="s">
        <v>20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97</v>
      </c>
      <c r="B287" s="2">
        <v>45689</v>
      </c>
      <c r="C287" t="s">
        <v>31</v>
      </c>
      <c r="D287" t="s">
        <v>20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97</v>
      </c>
      <c r="B288" s="2">
        <v>45717</v>
      </c>
      <c r="C288" t="s">
        <v>31</v>
      </c>
      <c r="D288" t="s">
        <v>20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97</v>
      </c>
      <c r="B289" s="2">
        <v>45748</v>
      </c>
      <c r="C289" t="s">
        <v>31</v>
      </c>
      <c r="D289" t="s">
        <v>20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98</v>
      </c>
      <c r="B290" s="2">
        <v>45658</v>
      </c>
      <c r="C290" t="s">
        <v>19</v>
      </c>
      <c r="D290" t="s">
        <v>20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98</v>
      </c>
      <c r="B291" s="2">
        <v>45689</v>
      </c>
      <c r="C291" t="s">
        <v>19</v>
      </c>
      <c r="D291" t="s">
        <v>20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98</v>
      </c>
      <c r="B292" s="2">
        <v>45717</v>
      </c>
      <c r="C292" t="s">
        <v>19</v>
      </c>
      <c r="D292" t="s">
        <v>20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98</v>
      </c>
      <c r="B293" s="2">
        <v>45748</v>
      </c>
      <c r="C293" t="s">
        <v>19</v>
      </c>
      <c r="D293" t="s">
        <v>20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99</v>
      </c>
      <c r="B294" s="2">
        <v>45658</v>
      </c>
      <c r="C294" t="s">
        <v>31</v>
      </c>
      <c r="D294" t="s">
        <v>22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99</v>
      </c>
      <c r="B295" s="2">
        <v>45689</v>
      </c>
      <c r="C295" t="s">
        <v>31</v>
      </c>
      <c r="D295" t="s">
        <v>22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99</v>
      </c>
      <c r="B296" s="2">
        <v>45717</v>
      </c>
      <c r="C296" t="s">
        <v>31</v>
      </c>
      <c r="D296" t="s">
        <v>22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99</v>
      </c>
      <c r="B297" s="2">
        <v>45748</v>
      </c>
      <c r="C297" t="s">
        <v>31</v>
      </c>
      <c r="D297" t="s">
        <v>22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100</v>
      </c>
      <c r="B298" s="2">
        <v>45658</v>
      </c>
      <c r="C298" t="s">
        <v>31</v>
      </c>
      <c r="D298" t="s">
        <v>22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100</v>
      </c>
      <c r="B299" s="2">
        <v>45689</v>
      </c>
      <c r="C299" t="s">
        <v>31</v>
      </c>
      <c r="D299" t="s">
        <v>22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100</v>
      </c>
      <c r="B300" s="2">
        <v>45717</v>
      </c>
      <c r="C300" t="s">
        <v>31</v>
      </c>
      <c r="D300" t="s">
        <v>22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100</v>
      </c>
      <c r="B301" s="2">
        <v>45748</v>
      </c>
      <c r="C301" t="s">
        <v>31</v>
      </c>
      <c r="D301" t="s">
        <v>22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101</v>
      </c>
      <c r="B302" s="2">
        <v>45658</v>
      </c>
      <c r="C302" t="s">
        <v>24</v>
      </c>
      <c r="D302" t="s">
        <v>32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101</v>
      </c>
      <c r="B303" s="2">
        <v>45689</v>
      </c>
      <c r="C303" t="s">
        <v>24</v>
      </c>
      <c r="D303" t="s">
        <v>32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101</v>
      </c>
      <c r="B304" s="2">
        <v>45717</v>
      </c>
      <c r="C304" t="s">
        <v>24</v>
      </c>
      <c r="D304" t="s">
        <v>32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101</v>
      </c>
      <c r="B305" s="2">
        <v>45748</v>
      </c>
      <c r="C305" t="s">
        <v>24</v>
      </c>
      <c r="D305" t="s">
        <v>32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102</v>
      </c>
      <c r="B306" s="2">
        <v>45658</v>
      </c>
      <c r="C306" t="s">
        <v>28</v>
      </c>
      <c r="D306" t="s">
        <v>20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102</v>
      </c>
      <c r="B307" s="2">
        <v>45689</v>
      </c>
      <c r="C307" t="s">
        <v>28</v>
      </c>
      <c r="D307" t="s">
        <v>20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102</v>
      </c>
      <c r="B308" s="2">
        <v>45717</v>
      </c>
      <c r="C308" t="s">
        <v>28</v>
      </c>
      <c r="D308" t="s">
        <v>20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102</v>
      </c>
      <c r="B309" s="2">
        <v>45748</v>
      </c>
      <c r="C309" t="s">
        <v>28</v>
      </c>
      <c r="D309" t="s">
        <v>20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103</v>
      </c>
      <c r="B310" s="2">
        <v>45658</v>
      </c>
      <c r="C310" t="s">
        <v>28</v>
      </c>
      <c r="D310" t="s">
        <v>22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103</v>
      </c>
      <c r="B311" s="2">
        <v>45689</v>
      </c>
      <c r="C311" t="s">
        <v>28</v>
      </c>
      <c r="D311" t="s">
        <v>22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103</v>
      </c>
      <c r="B312" s="2">
        <v>45717</v>
      </c>
      <c r="C312" t="s">
        <v>28</v>
      </c>
      <c r="D312" t="s">
        <v>22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103</v>
      </c>
      <c r="B313" s="2">
        <v>45748</v>
      </c>
      <c r="C313" t="s">
        <v>28</v>
      </c>
      <c r="D313" t="s">
        <v>22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104</v>
      </c>
      <c r="B314" s="2">
        <v>45658</v>
      </c>
      <c r="C314" t="s">
        <v>24</v>
      </c>
      <c r="D314" t="s">
        <v>20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104</v>
      </c>
      <c r="B315" s="2">
        <v>45689</v>
      </c>
      <c r="C315" t="s">
        <v>24</v>
      </c>
      <c r="D315" t="s">
        <v>20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104</v>
      </c>
      <c r="B316" s="2">
        <v>45717</v>
      </c>
      <c r="C316" t="s">
        <v>24</v>
      </c>
      <c r="D316" t="s">
        <v>20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104</v>
      </c>
      <c r="B317" s="2">
        <v>45748</v>
      </c>
      <c r="C317" t="s">
        <v>24</v>
      </c>
      <c r="D317" t="s">
        <v>20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105</v>
      </c>
      <c r="B318" s="2">
        <v>45658</v>
      </c>
      <c r="C318" t="s">
        <v>19</v>
      </c>
      <c r="D318" t="s">
        <v>20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105</v>
      </c>
      <c r="B319" s="2">
        <v>45689</v>
      </c>
      <c r="C319" t="s">
        <v>19</v>
      </c>
      <c r="D319" t="s">
        <v>20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105</v>
      </c>
      <c r="B320" s="2">
        <v>45717</v>
      </c>
      <c r="C320" t="s">
        <v>19</v>
      </c>
      <c r="D320" t="s">
        <v>20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105</v>
      </c>
      <c r="B321" s="2">
        <v>45748</v>
      </c>
      <c r="C321" t="s">
        <v>19</v>
      </c>
      <c r="D321" t="s">
        <v>20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216E-A3FC-4425-B70B-5664EE1E51A8}">
  <dimension ref="A1:Q321"/>
  <sheetViews>
    <sheetView workbookViewId="0">
      <selection activeCell="O1" sqref="O1:O321"/>
    </sheetView>
  </sheetViews>
  <sheetFormatPr defaultRowHeight="14.5"/>
  <sheetData>
    <row r="1" spans="1:17" ht="56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106</v>
      </c>
      <c r="P1" s="1" t="s">
        <v>107</v>
      </c>
      <c r="Q1" s="1" t="s">
        <v>108</v>
      </c>
    </row>
    <row r="2" spans="1:17">
      <c r="A2" t="s">
        <v>18</v>
      </c>
      <c r="B2" s="2">
        <v>45658</v>
      </c>
      <c r="C2" t="s">
        <v>19</v>
      </c>
      <c r="D2" t="s">
        <v>20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IF(D2="Airport",1,0)</f>
        <v>0</v>
      </c>
      <c r="P2">
        <f>IF(D2="High Street",1,0)</f>
        <v>0</v>
      </c>
      <c r="Q2">
        <f>IF(D2="Mall",1,0)</f>
        <v>0</v>
      </c>
    </row>
    <row r="3" spans="1:17">
      <c r="A3" t="s">
        <v>18</v>
      </c>
      <c r="B3" s="2">
        <v>45689</v>
      </c>
      <c r="C3" t="s">
        <v>19</v>
      </c>
      <c r="D3" t="s">
        <v>20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 t="shared" ref="O3:O66" si="0">IF(D3="Airport",1,0)</f>
        <v>0</v>
      </c>
      <c r="P3">
        <f t="shared" ref="P3:P66" si="1">IF(D3="High Street",1,0)</f>
        <v>0</v>
      </c>
      <c r="Q3">
        <f t="shared" ref="Q3:Q66" si="2">IF(D3="Mall",1,0)</f>
        <v>0</v>
      </c>
    </row>
    <row r="4" spans="1:17">
      <c r="A4" t="s">
        <v>18</v>
      </c>
      <c r="B4" s="2">
        <v>45717</v>
      </c>
      <c r="C4" t="s">
        <v>19</v>
      </c>
      <c r="D4" t="s">
        <v>20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 t="shared" si="0"/>
        <v>0</v>
      </c>
      <c r="P4">
        <f t="shared" si="1"/>
        <v>0</v>
      </c>
      <c r="Q4">
        <f t="shared" si="2"/>
        <v>0</v>
      </c>
    </row>
    <row r="5" spans="1:17">
      <c r="A5" t="s">
        <v>18</v>
      </c>
      <c r="B5" s="2">
        <v>45748</v>
      </c>
      <c r="C5" t="s">
        <v>19</v>
      </c>
      <c r="D5" t="s">
        <v>20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 t="shared" si="0"/>
        <v>0</v>
      </c>
      <c r="P5">
        <f t="shared" si="1"/>
        <v>0</v>
      </c>
      <c r="Q5">
        <f t="shared" si="2"/>
        <v>0</v>
      </c>
    </row>
    <row r="6" spans="1:17">
      <c r="A6" t="s">
        <v>21</v>
      </c>
      <c r="B6" s="2">
        <v>45658</v>
      </c>
      <c r="C6" t="s">
        <v>19</v>
      </c>
      <c r="D6" t="s">
        <v>22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 t="shared" si="0"/>
        <v>0</v>
      </c>
      <c r="P6">
        <f t="shared" si="1"/>
        <v>1</v>
      </c>
      <c r="Q6">
        <f t="shared" si="2"/>
        <v>0</v>
      </c>
    </row>
    <row r="7" spans="1:17">
      <c r="A7" t="s">
        <v>21</v>
      </c>
      <c r="B7" s="2">
        <v>45689</v>
      </c>
      <c r="C7" t="s">
        <v>19</v>
      </c>
      <c r="D7" t="s">
        <v>22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 t="shared" si="0"/>
        <v>0</v>
      </c>
      <c r="P7">
        <f t="shared" si="1"/>
        <v>1</v>
      </c>
      <c r="Q7">
        <f t="shared" si="2"/>
        <v>0</v>
      </c>
    </row>
    <row r="8" spans="1:17">
      <c r="A8" t="s">
        <v>21</v>
      </c>
      <c r="B8" s="2">
        <v>45717</v>
      </c>
      <c r="C8" t="s">
        <v>19</v>
      </c>
      <c r="D8" t="s">
        <v>22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 t="shared" si="0"/>
        <v>0</v>
      </c>
      <c r="P8">
        <f t="shared" si="1"/>
        <v>1</v>
      </c>
      <c r="Q8">
        <f t="shared" si="2"/>
        <v>0</v>
      </c>
    </row>
    <row r="9" spans="1:17">
      <c r="A9" t="s">
        <v>21</v>
      </c>
      <c r="B9" s="2">
        <v>45748</v>
      </c>
      <c r="C9" t="s">
        <v>19</v>
      </c>
      <c r="D9" t="s">
        <v>22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 t="shared" si="0"/>
        <v>0</v>
      </c>
      <c r="P9">
        <f t="shared" si="1"/>
        <v>1</v>
      </c>
      <c r="Q9">
        <f t="shared" si="2"/>
        <v>0</v>
      </c>
    </row>
    <row r="10" spans="1:17">
      <c r="A10" t="s">
        <v>23</v>
      </c>
      <c r="B10" s="2">
        <v>45658</v>
      </c>
      <c r="C10" t="s">
        <v>24</v>
      </c>
      <c r="D10" t="s">
        <v>25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 t="shared" si="0"/>
        <v>1</v>
      </c>
      <c r="P10">
        <f t="shared" si="1"/>
        <v>0</v>
      </c>
      <c r="Q10">
        <f t="shared" si="2"/>
        <v>0</v>
      </c>
    </row>
    <row r="11" spans="1:17">
      <c r="A11" t="s">
        <v>23</v>
      </c>
      <c r="B11" s="2">
        <v>45689</v>
      </c>
      <c r="C11" t="s">
        <v>24</v>
      </c>
      <c r="D11" t="s">
        <v>25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 t="shared" si="0"/>
        <v>1</v>
      </c>
      <c r="P11">
        <f t="shared" si="1"/>
        <v>0</v>
      </c>
      <c r="Q11">
        <f t="shared" si="2"/>
        <v>0</v>
      </c>
    </row>
    <row r="12" spans="1:17">
      <c r="A12" t="s">
        <v>23</v>
      </c>
      <c r="B12" s="2">
        <v>45717</v>
      </c>
      <c r="C12" t="s">
        <v>24</v>
      </c>
      <c r="D12" t="s">
        <v>25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 t="shared" si="0"/>
        <v>1</v>
      </c>
      <c r="P12">
        <f t="shared" si="1"/>
        <v>0</v>
      </c>
      <c r="Q12">
        <f t="shared" si="2"/>
        <v>0</v>
      </c>
    </row>
    <row r="13" spans="1:17">
      <c r="A13" t="s">
        <v>23</v>
      </c>
      <c r="B13" s="2">
        <v>45748</v>
      </c>
      <c r="C13" t="s">
        <v>24</v>
      </c>
      <c r="D13" t="s">
        <v>25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 t="shared" si="0"/>
        <v>1</v>
      </c>
      <c r="P13">
        <f t="shared" si="1"/>
        <v>0</v>
      </c>
      <c r="Q13">
        <f t="shared" si="2"/>
        <v>0</v>
      </c>
    </row>
    <row r="14" spans="1:17">
      <c r="A14" t="s">
        <v>26</v>
      </c>
      <c r="B14" s="2">
        <v>45658</v>
      </c>
      <c r="C14" t="s">
        <v>19</v>
      </c>
      <c r="D14" t="s">
        <v>20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 t="shared" si="0"/>
        <v>0</v>
      </c>
      <c r="P14">
        <f t="shared" si="1"/>
        <v>0</v>
      </c>
      <c r="Q14">
        <f t="shared" si="2"/>
        <v>0</v>
      </c>
    </row>
    <row r="15" spans="1:17">
      <c r="A15" t="s">
        <v>26</v>
      </c>
      <c r="B15" s="2">
        <v>45689</v>
      </c>
      <c r="C15" t="s">
        <v>19</v>
      </c>
      <c r="D15" t="s">
        <v>20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 t="shared" si="0"/>
        <v>0</v>
      </c>
      <c r="P15">
        <f t="shared" si="1"/>
        <v>0</v>
      </c>
      <c r="Q15">
        <f t="shared" si="2"/>
        <v>0</v>
      </c>
    </row>
    <row r="16" spans="1:17">
      <c r="A16" t="s">
        <v>26</v>
      </c>
      <c r="B16" s="2">
        <v>45717</v>
      </c>
      <c r="C16" t="s">
        <v>19</v>
      </c>
      <c r="D16" t="s">
        <v>20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 t="shared" si="0"/>
        <v>0</v>
      </c>
      <c r="P16">
        <f t="shared" si="1"/>
        <v>0</v>
      </c>
      <c r="Q16">
        <f t="shared" si="2"/>
        <v>0</v>
      </c>
    </row>
    <row r="17" spans="1:17">
      <c r="A17" t="s">
        <v>26</v>
      </c>
      <c r="B17" s="2">
        <v>45748</v>
      </c>
      <c r="C17" t="s">
        <v>19</v>
      </c>
      <c r="D17" t="s">
        <v>20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 t="shared" si="0"/>
        <v>0</v>
      </c>
      <c r="P17">
        <f t="shared" si="1"/>
        <v>0</v>
      </c>
      <c r="Q17">
        <f t="shared" si="2"/>
        <v>0</v>
      </c>
    </row>
    <row r="18" spans="1:17">
      <c r="A18" t="s">
        <v>27</v>
      </c>
      <c r="B18" s="2">
        <v>45658</v>
      </c>
      <c r="C18" t="s">
        <v>28</v>
      </c>
      <c r="D18" t="s">
        <v>20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 t="shared" si="0"/>
        <v>0</v>
      </c>
      <c r="P18">
        <f t="shared" si="1"/>
        <v>0</v>
      </c>
      <c r="Q18">
        <f t="shared" si="2"/>
        <v>0</v>
      </c>
    </row>
    <row r="19" spans="1:17">
      <c r="A19" t="s">
        <v>27</v>
      </c>
      <c r="B19" s="2">
        <v>45689</v>
      </c>
      <c r="C19" t="s">
        <v>28</v>
      </c>
      <c r="D19" t="s">
        <v>20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 t="shared" si="0"/>
        <v>0</v>
      </c>
      <c r="P19">
        <f t="shared" si="1"/>
        <v>0</v>
      </c>
      <c r="Q19">
        <f t="shared" si="2"/>
        <v>0</v>
      </c>
    </row>
    <row r="20" spans="1:17">
      <c r="A20" t="s">
        <v>27</v>
      </c>
      <c r="B20" s="2">
        <v>45717</v>
      </c>
      <c r="C20" t="s">
        <v>28</v>
      </c>
      <c r="D20" t="s">
        <v>20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 t="shared" si="0"/>
        <v>0</v>
      </c>
      <c r="P20">
        <f t="shared" si="1"/>
        <v>0</v>
      </c>
      <c r="Q20">
        <f t="shared" si="2"/>
        <v>0</v>
      </c>
    </row>
    <row r="21" spans="1:17">
      <c r="A21" t="s">
        <v>27</v>
      </c>
      <c r="B21" s="2">
        <v>45748</v>
      </c>
      <c r="C21" t="s">
        <v>28</v>
      </c>
      <c r="D21" t="s">
        <v>20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 t="shared" si="0"/>
        <v>0</v>
      </c>
      <c r="P21">
        <f t="shared" si="1"/>
        <v>0</v>
      </c>
      <c r="Q21">
        <f t="shared" si="2"/>
        <v>0</v>
      </c>
    </row>
    <row r="22" spans="1:17">
      <c r="A22" t="s">
        <v>29</v>
      </c>
      <c r="B22" s="2">
        <v>45658</v>
      </c>
      <c r="C22" t="s">
        <v>24</v>
      </c>
      <c r="D22" t="s">
        <v>20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 t="shared" si="0"/>
        <v>0</v>
      </c>
      <c r="P22">
        <f t="shared" si="1"/>
        <v>0</v>
      </c>
      <c r="Q22">
        <f t="shared" si="2"/>
        <v>0</v>
      </c>
    </row>
    <row r="23" spans="1:17">
      <c r="A23" t="s">
        <v>29</v>
      </c>
      <c r="B23" s="2">
        <v>45689</v>
      </c>
      <c r="C23" t="s">
        <v>24</v>
      </c>
      <c r="D23" t="s">
        <v>20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 t="shared" si="0"/>
        <v>0</v>
      </c>
      <c r="P23">
        <f t="shared" si="1"/>
        <v>0</v>
      </c>
      <c r="Q23">
        <f t="shared" si="2"/>
        <v>0</v>
      </c>
    </row>
    <row r="24" spans="1:17">
      <c r="A24" t="s">
        <v>29</v>
      </c>
      <c r="B24" s="2">
        <v>45717</v>
      </c>
      <c r="C24" t="s">
        <v>24</v>
      </c>
      <c r="D24" t="s">
        <v>20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 t="shared" si="0"/>
        <v>0</v>
      </c>
      <c r="P24">
        <f t="shared" si="1"/>
        <v>0</v>
      </c>
      <c r="Q24">
        <f t="shared" si="2"/>
        <v>0</v>
      </c>
    </row>
    <row r="25" spans="1:17">
      <c r="A25" t="s">
        <v>29</v>
      </c>
      <c r="B25" s="2">
        <v>45748</v>
      </c>
      <c r="C25" t="s">
        <v>24</v>
      </c>
      <c r="D25" t="s">
        <v>20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 t="shared" si="0"/>
        <v>0</v>
      </c>
      <c r="P25">
        <f t="shared" si="1"/>
        <v>0</v>
      </c>
      <c r="Q25">
        <f t="shared" si="2"/>
        <v>0</v>
      </c>
    </row>
    <row r="26" spans="1:17">
      <c r="A26" t="s">
        <v>30</v>
      </c>
      <c r="B26" s="2">
        <v>45658</v>
      </c>
      <c r="C26" t="s">
        <v>31</v>
      </c>
      <c r="D26" t="s">
        <v>32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 t="shared" si="0"/>
        <v>0</v>
      </c>
      <c r="P26">
        <f t="shared" si="1"/>
        <v>0</v>
      </c>
      <c r="Q26">
        <f t="shared" si="2"/>
        <v>1</v>
      </c>
    </row>
    <row r="27" spans="1:17">
      <c r="A27" t="s">
        <v>30</v>
      </c>
      <c r="B27" s="2">
        <v>45689</v>
      </c>
      <c r="C27" t="s">
        <v>31</v>
      </c>
      <c r="D27" t="s">
        <v>32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 t="shared" si="0"/>
        <v>0</v>
      </c>
      <c r="P27">
        <f t="shared" si="1"/>
        <v>0</v>
      </c>
      <c r="Q27">
        <f t="shared" si="2"/>
        <v>1</v>
      </c>
    </row>
    <row r="28" spans="1:17">
      <c r="A28" t="s">
        <v>30</v>
      </c>
      <c r="B28" s="2">
        <v>45717</v>
      </c>
      <c r="C28" t="s">
        <v>31</v>
      </c>
      <c r="D28" t="s">
        <v>32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 t="shared" si="0"/>
        <v>0</v>
      </c>
      <c r="P28">
        <f t="shared" si="1"/>
        <v>0</v>
      </c>
      <c r="Q28">
        <f t="shared" si="2"/>
        <v>1</v>
      </c>
    </row>
    <row r="29" spans="1:17">
      <c r="A29" t="s">
        <v>30</v>
      </c>
      <c r="B29" s="2">
        <v>45748</v>
      </c>
      <c r="C29" t="s">
        <v>31</v>
      </c>
      <c r="D29" t="s">
        <v>32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 t="shared" si="0"/>
        <v>0</v>
      </c>
      <c r="P29">
        <f t="shared" si="1"/>
        <v>0</v>
      </c>
      <c r="Q29">
        <f t="shared" si="2"/>
        <v>1</v>
      </c>
    </row>
    <row r="30" spans="1:17">
      <c r="A30" t="s">
        <v>33</v>
      </c>
      <c r="B30" s="2">
        <v>45658</v>
      </c>
      <c r="C30" t="s">
        <v>19</v>
      </c>
      <c r="D30" t="s">
        <v>20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 t="shared" si="0"/>
        <v>0</v>
      </c>
      <c r="P30">
        <f t="shared" si="1"/>
        <v>0</v>
      </c>
      <c r="Q30">
        <f t="shared" si="2"/>
        <v>0</v>
      </c>
    </row>
    <row r="31" spans="1:17">
      <c r="A31" t="s">
        <v>33</v>
      </c>
      <c r="B31" s="2">
        <v>45689</v>
      </c>
      <c r="C31" t="s">
        <v>19</v>
      </c>
      <c r="D31" t="s">
        <v>20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 t="shared" si="0"/>
        <v>0</v>
      </c>
      <c r="P31">
        <f t="shared" si="1"/>
        <v>0</v>
      </c>
      <c r="Q31">
        <f t="shared" si="2"/>
        <v>0</v>
      </c>
    </row>
    <row r="32" spans="1:17">
      <c r="A32" t="s">
        <v>33</v>
      </c>
      <c r="B32" s="2">
        <v>45717</v>
      </c>
      <c r="C32" t="s">
        <v>19</v>
      </c>
      <c r="D32" t="s">
        <v>20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 t="shared" si="0"/>
        <v>0</v>
      </c>
      <c r="P32">
        <f t="shared" si="1"/>
        <v>0</v>
      </c>
      <c r="Q32">
        <f t="shared" si="2"/>
        <v>0</v>
      </c>
    </row>
    <row r="33" spans="1:17">
      <c r="A33" t="s">
        <v>33</v>
      </c>
      <c r="B33" s="2">
        <v>45748</v>
      </c>
      <c r="C33" t="s">
        <v>19</v>
      </c>
      <c r="D33" t="s">
        <v>20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 t="shared" si="0"/>
        <v>0</v>
      </c>
      <c r="P33">
        <f t="shared" si="1"/>
        <v>0</v>
      </c>
      <c r="Q33">
        <f t="shared" si="2"/>
        <v>0</v>
      </c>
    </row>
    <row r="34" spans="1:17">
      <c r="A34" t="s">
        <v>34</v>
      </c>
      <c r="B34" s="2">
        <v>45658</v>
      </c>
      <c r="C34" t="s">
        <v>24</v>
      </c>
      <c r="D34" t="s">
        <v>20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 t="shared" si="0"/>
        <v>0</v>
      </c>
      <c r="P34">
        <f t="shared" si="1"/>
        <v>0</v>
      </c>
      <c r="Q34">
        <f t="shared" si="2"/>
        <v>0</v>
      </c>
    </row>
    <row r="35" spans="1:17">
      <c r="A35" t="s">
        <v>34</v>
      </c>
      <c r="B35" s="2">
        <v>45689</v>
      </c>
      <c r="C35" t="s">
        <v>24</v>
      </c>
      <c r="D35" t="s">
        <v>20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  <c r="O35">
        <f t="shared" si="0"/>
        <v>0</v>
      </c>
      <c r="P35">
        <f t="shared" si="1"/>
        <v>0</v>
      </c>
      <c r="Q35">
        <f t="shared" si="2"/>
        <v>0</v>
      </c>
    </row>
    <row r="36" spans="1:17">
      <c r="A36" t="s">
        <v>34</v>
      </c>
      <c r="B36" s="2">
        <v>45717</v>
      </c>
      <c r="C36" t="s">
        <v>24</v>
      </c>
      <c r="D36" t="s">
        <v>20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 t="shared" si="0"/>
        <v>0</v>
      </c>
      <c r="P36">
        <f t="shared" si="1"/>
        <v>0</v>
      </c>
      <c r="Q36">
        <f t="shared" si="2"/>
        <v>0</v>
      </c>
    </row>
    <row r="37" spans="1:17">
      <c r="A37" t="s">
        <v>34</v>
      </c>
      <c r="B37" s="2">
        <v>45748</v>
      </c>
      <c r="C37" t="s">
        <v>24</v>
      </c>
      <c r="D37" t="s">
        <v>20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 t="shared" si="0"/>
        <v>0</v>
      </c>
      <c r="P37">
        <f t="shared" si="1"/>
        <v>0</v>
      </c>
      <c r="Q37">
        <f t="shared" si="2"/>
        <v>0</v>
      </c>
    </row>
    <row r="38" spans="1:17">
      <c r="A38" t="s">
        <v>35</v>
      </c>
      <c r="B38" s="2">
        <v>45658</v>
      </c>
      <c r="C38" t="s">
        <v>24</v>
      </c>
      <c r="D38" t="s">
        <v>32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 t="shared" si="0"/>
        <v>0</v>
      </c>
      <c r="P38">
        <f t="shared" si="1"/>
        <v>0</v>
      </c>
      <c r="Q38">
        <f t="shared" si="2"/>
        <v>1</v>
      </c>
    </row>
    <row r="39" spans="1:17">
      <c r="A39" t="s">
        <v>35</v>
      </c>
      <c r="B39" s="2">
        <v>45689</v>
      </c>
      <c r="C39" t="s">
        <v>24</v>
      </c>
      <c r="D39" t="s">
        <v>32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 t="shared" si="0"/>
        <v>0</v>
      </c>
      <c r="P39">
        <f t="shared" si="1"/>
        <v>0</v>
      </c>
      <c r="Q39">
        <f t="shared" si="2"/>
        <v>1</v>
      </c>
    </row>
    <row r="40" spans="1:17">
      <c r="A40" t="s">
        <v>35</v>
      </c>
      <c r="B40" s="2">
        <v>45717</v>
      </c>
      <c r="C40" t="s">
        <v>24</v>
      </c>
      <c r="D40" t="s">
        <v>32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 t="shared" si="0"/>
        <v>0</v>
      </c>
      <c r="P40">
        <f t="shared" si="1"/>
        <v>0</v>
      </c>
      <c r="Q40">
        <f t="shared" si="2"/>
        <v>1</v>
      </c>
    </row>
    <row r="41" spans="1:17">
      <c r="A41" t="s">
        <v>35</v>
      </c>
      <c r="B41" s="2">
        <v>45748</v>
      </c>
      <c r="C41" t="s">
        <v>24</v>
      </c>
      <c r="D41" t="s">
        <v>32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 t="shared" si="0"/>
        <v>0</v>
      </c>
      <c r="P41">
        <f t="shared" si="1"/>
        <v>0</v>
      </c>
      <c r="Q41">
        <f t="shared" si="2"/>
        <v>1</v>
      </c>
    </row>
    <row r="42" spans="1:17">
      <c r="A42" t="s">
        <v>36</v>
      </c>
      <c r="B42" s="2">
        <v>45658</v>
      </c>
      <c r="C42" t="s">
        <v>19</v>
      </c>
      <c r="D42" t="s">
        <v>32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 t="shared" si="0"/>
        <v>0</v>
      </c>
      <c r="P42">
        <f t="shared" si="1"/>
        <v>0</v>
      </c>
      <c r="Q42">
        <f t="shared" si="2"/>
        <v>1</v>
      </c>
    </row>
    <row r="43" spans="1:17">
      <c r="A43" t="s">
        <v>36</v>
      </c>
      <c r="B43" s="2">
        <v>45689</v>
      </c>
      <c r="C43" t="s">
        <v>19</v>
      </c>
      <c r="D43" t="s">
        <v>32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 t="shared" si="0"/>
        <v>0</v>
      </c>
      <c r="P43">
        <f t="shared" si="1"/>
        <v>0</v>
      </c>
      <c r="Q43">
        <f t="shared" si="2"/>
        <v>1</v>
      </c>
    </row>
    <row r="44" spans="1:17">
      <c r="A44" t="s">
        <v>36</v>
      </c>
      <c r="B44" s="2">
        <v>45717</v>
      </c>
      <c r="C44" t="s">
        <v>19</v>
      </c>
      <c r="D44" t="s">
        <v>32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 t="shared" si="0"/>
        <v>0</v>
      </c>
      <c r="P44">
        <f t="shared" si="1"/>
        <v>0</v>
      </c>
      <c r="Q44">
        <f t="shared" si="2"/>
        <v>1</v>
      </c>
    </row>
    <row r="45" spans="1:17">
      <c r="A45" t="s">
        <v>36</v>
      </c>
      <c r="B45" s="2">
        <v>45748</v>
      </c>
      <c r="C45" t="s">
        <v>19</v>
      </c>
      <c r="D45" t="s">
        <v>32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 t="shared" si="0"/>
        <v>0</v>
      </c>
      <c r="P45">
        <f t="shared" si="1"/>
        <v>0</v>
      </c>
      <c r="Q45">
        <f t="shared" si="2"/>
        <v>1</v>
      </c>
    </row>
    <row r="46" spans="1:17">
      <c r="A46" t="s">
        <v>37</v>
      </c>
      <c r="B46" s="2">
        <v>45658</v>
      </c>
      <c r="C46" t="s">
        <v>31</v>
      </c>
      <c r="D46" t="s">
        <v>20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 t="shared" si="0"/>
        <v>0</v>
      </c>
      <c r="P46">
        <f t="shared" si="1"/>
        <v>0</v>
      </c>
      <c r="Q46">
        <f t="shared" si="2"/>
        <v>0</v>
      </c>
    </row>
    <row r="47" spans="1:17">
      <c r="A47" t="s">
        <v>37</v>
      </c>
      <c r="B47" s="2">
        <v>45689</v>
      </c>
      <c r="C47" t="s">
        <v>31</v>
      </c>
      <c r="D47" t="s">
        <v>20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 t="shared" si="0"/>
        <v>0</v>
      </c>
      <c r="P47">
        <f t="shared" si="1"/>
        <v>0</v>
      </c>
      <c r="Q47">
        <f t="shared" si="2"/>
        <v>0</v>
      </c>
    </row>
    <row r="48" spans="1:17">
      <c r="A48" t="s">
        <v>37</v>
      </c>
      <c r="B48" s="2">
        <v>45717</v>
      </c>
      <c r="C48" t="s">
        <v>31</v>
      </c>
      <c r="D48" t="s">
        <v>20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 t="shared" si="0"/>
        <v>0</v>
      </c>
      <c r="P48">
        <f t="shared" si="1"/>
        <v>0</v>
      </c>
      <c r="Q48">
        <f t="shared" si="2"/>
        <v>0</v>
      </c>
    </row>
    <row r="49" spans="1:17">
      <c r="A49" t="s">
        <v>37</v>
      </c>
      <c r="B49" s="2">
        <v>45748</v>
      </c>
      <c r="C49" t="s">
        <v>31</v>
      </c>
      <c r="D49" t="s">
        <v>20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 t="shared" si="0"/>
        <v>0</v>
      </c>
      <c r="P49">
        <f t="shared" si="1"/>
        <v>0</v>
      </c>
      <c r="Q49">
        <f t="shared" si="2"/>
        <v>0</v>
      </c>
    </row>
    <row r="50" spans="1:17">
      <c r="A50" t="s">
        <v>38</v>
      </c>
      <c r="B50" s="2">
        <v>45658</v>
      </c>
      <c r="C50" t="s">
        <v>24</v>
      </c>
      <c r="D50" t="s">
        <v>32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 t="shared" si="0"/>
        <v>0</v>
      </c>
      <c r="P50">
        <f t="shared" si="1"/>
        <v>0</v>
      </c>
      <c r="Q50">
        <f t="shared" si="2"/>
        <v>1</v>
      </c>
    </row>
    <row r="51" spans="1:17">
      <c r="A51" t="s">
        <v>38</v>
      </c>
      <c r="B51" s="2">
        <v>45689</v>
      </c>
      <c r="C51" t="s">
        <v>24</v>
      </c>
      <c r="D51" t="s">
        <v>32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 t="shared" si="0"/>
        <v>0</v>
      </c>
      <c r="P51">
        <f t="shared" si="1"/>
        <v>0</v>
      </c>
      <c r="Q51">
        <f t="shared" si="2"/>
        <v>1</v>
      </c>
    </row>
    <row r="52" spans="1:17">
      <c r="A52" t="s">
        <v>38</v>
      </c>
      <c r="B52" s="2">
        <v>45717</v>
      </c>
      <c r="C52" t="s">
        <v>24</v>
      </c>
      <c r="D52" t="s">
        <v>32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 t="shared" si="0"/>
        <v>0</v>
      </c>
      <c r="P52">
        <f t="shared" si="1"/>
        <v>0</v>
      </c>
      <c r="Q52">
        <f t="shared" si="2"/>
        <v>1</v>
      </c>
    </row>
    <row r="53" spans="1:17">
      <c r="A53" t="s">
        <v>38</v>
      </c>
      <c r="B53" s="2">
        <v>45748</v>
      </c>
      <c r="C53" t="s">
        <v>24</v>
      </c>
      <c r="D53" t="s">
        <v>32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 t="shared" si="0"/>
        <v>0</v>
      </c>
      <c r="P53">
        <f t="shared" si="1"/>
        <v>0</v>
      </c>
      <c r="Q53">
        <f t="shared" si="2"/>
        <v>1</v>
      </c>
    </row>
    <row r="54" spans="1:17">
      <c r="A54" t="s">
        <v>39</v>
      </c>
      <c r="B54" s="2">
        <v>45658</v>
      </c>
      <c r="C54" t="s">
        <v>31</v>
      </c>
      <c r="D54" t="s">
        <v>22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 t="shared" si="0"/>
        <v>0</v>
      </c>
      <c r="P54">
        <f t="shared" si="1"/>
        <v>1</v>
      </c>
      <c r="Q54">
        <f t="shared" si="2"/>
        <v>0</v>
      </c>
    </row>
    <row r="55" spans="1:17">
      <c r="A55" t="s">
        <v>39</v>
      </c>
      <c r="B55" s="2">
        <v>45689</v>
      </c>
      <c r="C55" t="s">
        <v>31</v>
      </c>
      <c r="D55" t="s">
        <v>22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 t="shared" si="0"/>
        <v>0</v>
      </c>
      <c r="P55">
        <f t="shared" si="1"/>
        <v>1</v>
      </c>
      <c r="Q55">
        <f t="shared" si="2"/>
        <v>0</v>
      </c>
    </row>
    <row r="56" spans="1:17">
      <c r="A56" t="s">
        <v>39</v>
      </c>
      <c r="B56" s="2">
        <v>45717</v>
      </c>
      <c r="C56" t="s">
        <v>31</v>
      </c>
      <c r="D56" t="s">
        <v>22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 t="shared" si="0"/>
        <v>0</v>
      </c>
      <c r="P56">
        <f t="shared" si="1"/>
        <v>1</v>
      </c>
      <c r="Q56">
        <f t="shared" si="2"/>
        <v>0</v>
      </c>
    </row>
    <row r="57" spans="1:17">
      <c r="A57" t="s">
        <v>39</v>
      </c>
      <c r="B57" s="2">
        <v>45748</v>
      </c>
      <c r="C57" t="s">
        <v>31</v>
      </c>
      <c r="D57" t="s">
        <v>22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 t="shared" si="0"/>
        <v>0</v>
      </c>
      <c r="P57">
        <f t="shared" si="1"/>
        <v>1</v>
      </c>
      <c r="Q57">
        <f t="shared" si="2"/>
        <v>0</v>
      </c>
    </row>
    <row r="58" spans="1:17">
      <c r="A58" t="s">
        <v>40</v>
      </c>
      <c r="B58" s="2">
        <v>45658</v>
      </c>
      <c r="C58" t="s">
        <v>19</v>
      </c>
      <c r="D58" t="s">
        <v>25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 t="shared" si="0"/>
        <v>1</v>
      </c>
      <c r="P58">
        <f t="shared" si="1"/>
        <v>0</v>
      </c>
      <c r="Q58">
        <f t="shared" si="2"/>
        <v>0</v>
      </c>
    </row>
    <row r="59" spans="1:17">
      <c r="A59" t="s">
        <v>40</v>
      </c>
      <c r="B59" s="2">
        <v>45689</v>
      </c>
      <c r="C59" t="s">
        <v>19</v>
      </c>
      <c r="D59" t="s">
        <v>25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 t="shared" si="0"/>
        <v>1</v>
      </c>
      <c r="P59">
        <f t="shared" si="1"/>
        <v>0</v>
      </c>
      <c r="Q59">
        <f t="shared" si="2"/>
        <v>0</v>
      </c>
    </row>
    <row r="60" spans="1:17">
      <c r="A60" t="s">
        <v>40</v>
      </c>
      <c r="B60" s="2">
        <v>45717</v>
      </c>
      <c r="C60" t="s">
        <v>19</v>
      </c>
      <c r="D60" t="s">
        <v>25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 t="shared" si="0"/>
        <v>1</v>
      </c>
      <c r="P60">
        <f t="shared" si="1"/>
        <v>0</v>
      </c>
      <c r="Q60">
        <f t="shared" si="2"/>
        <v>0</v>
      </c>
    </row>
    <row r="61" spans="1:17">
      <c r="A61" t="s">
        <v>40</v>
      </c>
      <c r="B61" s="2">
        <v>45748</v>
      </c>
      <c r="C61" t="s">
        <v>19</v>
      </c>
      <c r="D61" t="s">
        <v>25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 t="shared" si="0"/>
        <v>1</v>
      </c>
      <c r="P61">
        <f t="shared" si="1"/>
        <v>0</v>
      </c>
      <c r="Q61">
        <f t="shared" si="2"/>
        <v>0</v>
      </c>
    </row>
    <row r="62" spans="1:17">
      <c r="A62" t="s">
        <v>41</v>
      </c>
      <c r="B62" s="2">
        <v>45658</v>
      </c>
      <c r="C62" t="s">
        <v>28</v>
      </c>
      <c r="D62" t="s">
        <v>22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 t="shared" si="0"/>
        <v>0</v>
      </c>
      <c r="P62">
        <f t="shared" si="1"/>
        <v>1</v>
      </c>
      <c r="Q62">
        <f t="shared" si="2"/>
        <v>0</v>
      </c>
    </row>
    <row r="63" spans="1:17">
      <c r="A63" t="s">
        <v>41</v>
      </c>
      <c r="B63" s="2">
        <v>45689</v>
      </c>
      <c r="C63" t="s">
        <v>28</v>
      </c>
      <c r="D63" t="s">
        <v>22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 t="shared" si="0"/>
        <v>0</v>
      </c>
      <c r="P63">
        <f t="shared" si="1"/>
        <v>1</v>
      </c>
      <c r="Q63">
        <f t="shared" si="2"/>
        <v>0</v>
      </c>
    </row>
    <row r="64" spans="1:17">
      <c r="A64" t="s">
        <v>41</v>
      </c>
      <c r="B64" s="2">
        <v>45717</v>
      </c>
      <c r="C64" t="s">
        <v>28</v>
      </c>
      <c r="D64" t="s">
        <v>22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 t="shared" si="0"/>
        <v>0</v>
      </c>
      <c r="P64">
        <f t="shared" si="1"/>
        <v>1</v>
      </c>
      <c r="Q64">
        <f t="shared" si="2"/>
        <v>0</v>
      </c>
    </row>
    <row r="65" spans="1:17">
      <c r="A65" t="s">
        <v>41</v>
      </c>
      <c r="B65" s="2">
        <v>45748</v>
      </c>
      <c r="C65" t="s">
        <v>28</v>
      </c>
      <c r="D65" t="s">
        <v>22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 t="shared" si="0"/>
        <v>0</v>
      </c>
      <c r="P65">
        <f t="shared" si="1"/>
        <v>1</v>
      </c>
      <c r="Q65">
        <f t="shared" si="2"/>
        <v>0</v>
      </c>
    </row>
    <row r="66" spans="1:17">
      <c r="A66" t="s">
        <v>42</v>
      </c>
      <c r="B66" s="2">
        <v>45658</v>
      </c>
      <c r="C66" t="s">
        <v>31</v>
      </c>
      <c r="D66" t="s">
        <v>22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 t="shared" si="0"/>
        <v>0</v>
      </c>
      <c r="P66">
        <f t="shared" si="1"/>
        <v>1</v>
      </c>
      <c r="Q66">
        <f t="shared" si="2"/>
        <v>0</v>
      </c>
    </row>
    <row r="67" spans="1:17">
      <c r="A67" t="s">
        <v>42</v>
      </c>
      <c r="B67" s="2">
        <v>45689</v>
      </c>
      <c r="C67" t="s">
        <v>31</v>
      </c>
      <c r="D67" t="s">
        <v>22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 t="shared" ref="O67:O130" si="3">IF(D67="Airport",1,0)</f>
        <v>0</v>
      </c>
      <c r="P67">
        <f t="shared" ref="P67:P130" si="4">IF(D67="High Street",1,0)</f>
        <v>1</v>
      </c>
      <c r="Q67">
        <f t="shared" ref="Q67:Q130" si="5">IF(D67="Mall",1,0)</f>
        <v>0</v>
      </c>
    </row>
    <row r="68" spans="1:17">
      <c r="A68" t="s">
        <v>42</v>
      </c>
      <c r="B68" s="2">
        <v>45717</v>
      </c>
      <c r="C68" t="s">
        <v>31</v>
      </c>
      <c r="D68" t="s">
        <v>22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 t="shared" si="3"/>
        <v>0</v>
      </c>
      <c r="P68">
        <f t="shared" si="4"/>
        <v>1</v>
      </c>
      <c r="Q68">
        <f t="shared" si="5"/>
        <v>0</v>
      </c>
    </row>
    <row r="69" spans="1:17">
      <c r="A69" t="s">
        <v>42</v>
      </c>
      <c r="B69" s="2">
        <v>45748</v>
      </c>
      <c r="C69" t="s">
        <v>31</v>
      </c>
      <c r="D69" t="s">
        <v>22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 t="shared" si="3"/>
        <v>0</v>
      </c>
      <c r="P69">
        <f t="shared" si="4"/>
        <v>1</v>
      </c>
      <c r="Q69">
        <f t="shared" si="5"/>
        <v>0</v>
      </c>
    </row>
    <row r="70" spans="1:17">
      <c r="A70" t="s">
        <v>43</v>
      </c>
      <c r="B70" s="2">
        <v>45658</v>
      </c>
      <c r="C70" t="s">
        <v>19</v>
      </c>
      <c r="D70" t="s">
        <v>22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 t="shared" si="3"/>
        <v>0</v>
      </c>
      <c r="P70">
        <f t="shared" si="4"/>
        <v>1</v>
      </c>
      <c r="Q70">
        <f t="shared" si="5"/>
        <v>0</v>
      </c>
    </row>
    <row r="71" spans="1:17">
      <c r="A71" t="s">
        <v>43</v>
      </c>
      <c r="B71" s="2">
        <v>45689</v>
      </c>
      <c r="C71" t="s">
        <v>19</v>
      </c>
      <c r="D71" t="s">
        <v>22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 t="shared" si="3"/>
        <v>0</v>
      </c>
      <c r="P71">
        <f t="shared" si="4"/>
        <v>1</v>
      </c>
      <c r="Q71">
        <f t="shared" si="5"/>
        <v>0</v>
      </c>
    </row>
    <row r="72" spans="1:17">
      <c r="A72" t="s">
        <v>43</v>
      </c>
      <c r="B72" s="2">
        <v>45717</v>
      </c>
      <c r="C72" t="s">
        <v>19</v>
      </c>
      <c r="D72" t="s">
        <v>22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 t="shared" si="3"/>
        <v>0</v>
      </c>
      <c r="P72">
        <f t="shared" si="4"/>
        <v>1</v>
      </c>
      <c r="Q72">
        <f t="shared" si="5"/>
        <v>0</v>
      </c>
    </row>
    <row r="73" spans="1:17">
      <c r="A73" t="s">
        <v>43</v>
      </c>
      <c r="B73" s="2">
        <v>45748</v>
      </c>
      <c r="C73" t="s">
        <v>19</v>
      </c>
      <c r="D73" t="s">
        <v>22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  <c r="O73">
        <f t="shared" si="3"/>
        <v>0</v>
      </c>
      <c r="P73">
        <f t="shared" si="4"/>
        <v>1</v>
      </c>
      <c r="Q73">
        <f t="shared" si="5"/>
        <v>0</v>
      </c>
    </row>
    <row r="74" spans="1:17">
      <c r="A74" t="s">
        <v>44</v>
      </c>
      <c r="B74" s="2">
        <v>45658</v>
      </c>
      <c r="C74" t="s">
        <v>19</v>
      </c>
      <c r="D74" t="s">
        <v>20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 t="shared" si="3"/>
        <v>0</v>
      </c>
      <c r="P74">
        <f t="shared" si="4"/>
        <v>0</v>
      </c>
      <c r="Q74">
        <f t="shared" si="5"/>
        <v>0</v>
      </c>
    </row>
    <row r="75" spans="1:17">
      <c r="A75" t="s">
        <v>44</v>
      </c>
      <c r="B75" s="2">
        <v>45689</v>
      </c>
      <c r="C75" t="s">
        <v>19</v>
      </c>
      <c r="D75" t="s">
        <v>20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 t="shared" si="3"/>
        <v>0</v>
      </c>
      <c r="P75">
        <f t="shared" si="4"/>
        <v>0</v>
      </c>
      <c r="Q75">
        <f t="shared" si="5"/>
        <v>0</v>
      </c>
    </row>
    <row r="76" spans="1:17">
      <c r="A76" t="s">
        <v>44</v>
      </c>
      <c r="B76" s="2">
        <v>45717</v>
      </c>
      <c r="C76" t="s">
        <v>19</v>
      </c>
      <c r="D76" t="s">
        <v>20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 t="shared" si="3"/>
        <v>0</v>
      </c>
      <c r="P76">
        <f t="shared" si="4"/>
        <v>0</v>
      </c>
      <c r="Q76">
        <f t="shared" si="5"/>
        <v>0</v>
      </c>
    </row>
    <row r="77" spans="1:17">
      <c r="A77" t="s">
        <v>44</v>
      </c>
      <c r="B77" s="2">
        <v>45748</v>
      </c>
      <c r="C77" t="s">
        <v>19</v>
      </c>
      <c r="D77" t="s">
        <v>20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 t="shared" si="3"/>
        <v>0</v>
      </c>
      <c r="P77">
        <f t="shared" si="4"/>
        <v>0</v>
      </c>
      <c r="Q77">
        <f t="shared" si="5"/>
        <v>0</v>
      </c>
    </row>
    <row r="78" spans="1:17">
      <c r="A78" t="s">
        <v>45</v>
      </c>
      <c r="B78" s="2">
        <v>45658</v>
      </c>
      <c r="C78" t="s">
        <v>28</v>
      </c>
      <c r="D78" t="s">
        <v>22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 t="shared" si="3"/>
        <v>0</v>
      </c>
      <c r="P78">
        <f t="shared" si="4"/>
        <v>1</v>
      </c>
      <c r="Q78">
        <f t="shared" si="5"/>
        <v>0</v>
      </c>
    </row>
    <row r="79" spans="1:17">
      <c r="A79" t="s">
        <v>45</v>
      </c>
      <c r="B79" s="2">
        <v>45689</v>
      </c>
      <c r="C79" t="s">
        <v>28</v>
      </c>
      <c r="D79" t="s">
        <v>22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 t="shared" si="3"/>
        <v>0</v>
      </c>
      <c r="P79">
        <f t="shared" si="4"/>
        <v>1</v>
      </c>
      <c r="Q79">
        <f t="shared" si="5"/>
        <v>0</v>
      </c>
    </row>
    <row r="80" spans="1:17">
      <c r="A80" t="s">
        <v>45</v>
      </c>
      <c r="B80" s="2">
        <v>45717</v>
      </c>
      <c r="C80" t="s">
        <v>28</v>
      </c>
      <c r="D80" t="s">
        <v>22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 t="shared" si="3"/>
        <v>0</v>
      </c>
      <c r="P80">
        <f t="shared" si="4"/>
        <v>1</v>
      </c>
      <c r="Q80">
        <f t="shared" si="5"/>
        <v>0</v>
      </c>
    </row>
    <row r="81" spans="1:17">
      <c r="A81" t="s">
        <v>45</v>
      </c>
      <c r="B81" s="2">
        <v>45748</v>
      </c>
      <c r="C81" t="s">
        <v>28</v>
      </c>
      <c r="D81" t="s">
        <v>22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 t="shared" si="3"/>
        <v>0</v>
      </c>
      <c r="P81">
        <f t="shared" si="4"/>
        <v>1</v>
      </c>
      <c r="Q81">
        <f t="shared" si="5"/>
        <v>0</v>
      </c>
    </row>
    <row r="82" spans="1:17">
      <c r="A82" t="s">
        <v>46</v>
      </c>
      <c r="B82" s="2">
        <v>45658</v>
      </c>
      <c r="C82" t="s">
        <v>31</v>
      </c>
      <c r="D82" t="s">
        <v>32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 t="shared" si="3"/>
        <v>0</v>
      </c>
      <c r="P82">
        <f t="shared" si="4"/>
        <v>0</v>
      </c>
      <c r="Q82">
        <f t="shared" si="5"/>
        <v>1</v>
      </c>
    </row>
    <row r="83" spans="1:17">
      <c r="A83" t="s">
        <v>46</v>
      </c>
      <c r="B83" s="2">
        <v>45689</v>
      </c>
      <c r="C83" t="s">
        <v>31</v>
      </c>
      <c r="D83" t="s">
        <v>32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 t="shared" si="3"/>
        <v>0</v>
      </c>
      <c r="P83">
        <f t="shared" si="4"/>
        <v>0</v>
      </c>
      <c r="Q83">
        <f t="shared" si="5"/>
        <v>1</v>
      </c>
    </row>
    <row r="84" spans="1:17">
      <c r="A84" t="s">
        <v>46</v>
      </c>
      <c r="B84" s="2">
        <v>45717</v>
      </c>
      <c r="C84" t="s">
        <v>31</v>
      </c>
      <c r="D84" t="s">
        <v>32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 t="shared" si="3"/>
        <v>0</v>
      </c>
      <c r="P84">
        <f t="shared" si="4"/>
        <v>0</v>
      </c>
      <c r="Q84">
        <f t="shared" si="5"/>
        <v>1</v>
      </c>
    </row>
    <row r="85" spans="1:17">
      <c r="A85" t="s">
        <v>46</v>
      </c>
      <c r="B85" s="2">
        <v>45748</v>
      </c>
      <c r="C85" t="s">
        <v>31</v>
      </c>
      <c r="D85" t="s">
        <v>32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 t="shared" si="3"/>
        <v>0</v>
      </c>
      <c r="P85">
        <f t="shared" si="4"/>
        <v>0</v>
      </c>
      <c r="Q85">
        <f t="shared" si="5"/>
        <v>1</v>
      </c>
    </row>
    <row r="86" spans="1:17">
      <c r="A86" t="s">
        <v>47</v>
      </c>
      <c r="B86" s="2">
        <v>45658</v>
      </c>
      <c r="C86" t="s">
        <v>31</v>
      </c>
      <c r="D86" t="s">
        <v>22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 t="shared" si="3"/>
        <v>0</v>
      </c>
      <c r="P86">
        <f t="shared" si="4"/>
        <v>1</v>
      </c>
      <c r="Q86">
        <f t="shared" si="5"/>
        <v>0</v>
      </c>
    </row>
    <row r="87" spans="1:17">
      <c r="A87" t="s">
        <v>47</v>
      </c>
      <c r="B87" s="2">
        <v>45689</v>
      </c>
      <c r="C87" t="s">
        <v>31</v>
      </c>
      <c r="D87" t="s">
        <v>22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  <c r="O87">
        <f t="shared" si="3"/>
        <v>0</v>
      </c>
      <c r="P87">
        <f t="shared" si="4"/>
        <v>1</v>
      </c>
      <c r="Q87">
        <f t="shared" si="5"/>
        <v>0</v>
      </c>
    </row>
    <row r="88" spans="1:17">
      <c r="A88" t="s">
        <v>47</v>
      </c>
      <c r="B88" s="2">
        <v>45717</v>
      </c>
      <c r="C88" t="s">
        <v>31</v>
      </c>
      <c r="D88" t="s">
        <v>22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 t="shared" si="3"/>
        <v>0</v>
      </c>
      <c r="P88">
        <f t="shared" si="4"/>
        <v>1</v>
      </c>
      <c r="Q88">
        <f t="shared" si="5"/>
        <v>0</v>
      </c>
    </row>
    <row r="89" spans="1:17">
      <c r="A89" t="s">
        <v>47</v>
      </c>
      <c r="B89" s="2">
        <v>45748</v>
      </c>
      <c r="C89" t="s">
        <v>31</v>
      </c>
      <c r="D89" t="s">
        <v>22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 t="shared" si="3"/>
        <v>0</v>
      </c>
      <c r="P89">
        <f t="shared" si="4"/>
        <v>1</v>
      </c>
      <c r="Q89">
        <f t="shared" si="5"/>
        <v>0</v>
      </c>
    </row>
    <row r="90" spans="1:17">
      <c r="A90" t="s">
        <v>48</v>
      </c>
      <c r="B90" s="2">
        <v>45658</v>
      </c>
      <c r="C90" t="s">
        <v>28</v>
      </c>
      <c r="D90" t="s">
        <v>32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 t="shared" si="3"/>
        <v>0</v>
      </c>
      <c r="P90">
        <f t="shared" si="4"/>
        <v>0</v>
      </c>
      <c r="Q90">
        <f t="shared" si="5"/>
        <v>1</v>
      </c>
    </row>
    <row r="91" spans="1:17">
      <c r="A91" t="s">
        <v>48</v>
      </c>
      <c r="B91" s="2">
        <v>45689</v>
      </c>
      <c r="C91" t="s">
        <v>28</v>
      </c>
      <c r="D91" t="s">
        <v>32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 t="shared" si="3"/>
        <v>0</v>
      </c>
      <c r="P91">
        <f t="shared" si="4"/>
        <v>0</v>
      </c>
      <c r="Q91">
        <f t="shared" si="5"/>
        <v>1</v>
      </c>
    </row>
    <row r="92" spans="1:17">
      <c r="A92" t="s">
        <v>48</v>
      </c>
      <c r="B92" s="2">
        <v>45717</v>
      </c>
      <c r="C92" t="s">
        <v>28</v>
      </c>
      <c r="D92" t="s">
        <v>32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 t="shared" si="3"/>
        <v>0</v>
      </c>
      <c r="P92">
        <f t="shared" si="4"/>
        <v>0</v>
      </c>
      <c r="Q92">
        <f t="shared" si="5"/>
        <v>1</v>
      </c>
    </row>
    <row r="93" spans="1:17">
      <c r="A93" t="s">
        <v>48</v>
      </c>
      <c r="B93" s="2">
        <v>45748</v>
      </c>
      <c r="C93" t="s">
        <v>28</v>
      </c>
      <c r="D93" t="s">
        <v>32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 t="shared" si="3"/>
        <v>0</v>
      </c>
      <c r="P93">
        <f t="shared" si="4"/>
        <v>0</v>
      </c>
      <c r="Q93">
        <f t="shared" si="5"/>
        <v>1</v>
      </c>
    </row>
    <row r="94" spans="1:17">
      <c r="A94" t="s">
        <v>49</v>
      </c>
      <c r="B94" s="2">
        <v>45658</v>
      </c>
      <c r="C94" t="s">
        <v>31</v>
      </c>
      <c r="D94" t="s">
        <v>20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 t="shared" si="3"/>
        <v>0</v>
      </c>
      <c r="P94">
        <f t="shared" si="4"/>
        <v>0</v>
      </c>
      <c r="Q94">
        <f t="shared" si="5"/>
        <v>0</v>
      </c>
    </row>
    <row r="95" spans="1:17">
      <c r="A95" t="s">
        <v>49</v>
      </c>
      <c r="B95" s="2">
        <v>45689</v>
      </c>
      <c r="C95" t="s">
        <v>31</v>
      </c>
      <c r="D95" t="s">
        <v>20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 t="shared" si="3"/>
        <v>0</v>
      </c>
      <c r="P95">
        <f t="shared" si="4"/>
        <v>0</v>
      </c>
      <c r="Q95">
        <f t="shared" si="5"/>
        <v>0</v>
      </c>
    </row>
    <row r="96" spans="1:17">
      <c r="A96" t="s">
        <v>49</v>
      </c>
      <c r="B96" s="2">
        <v>45717</v>
      </c>
      <c r="C96" t="s">
        <v>31</v>
      </c>
      <c r="D96" t="s">
        <v>20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 t="shared" si="3"/>
        <v>0</v>
      </c>
      <c r="P96">
        <f t="shared" si="4"/>
        <v>0</v>
      </c>
      <c r="Q96">
        <f t="shared" si="5"/>
        <v>0</v>
      </c>
    </row>
    <row r="97" spans="1:17">
      <c r="A97" t="s">
        <v>49</v>
      </c>
      <c r="B97" s="2">
        <v>45748</v>
      </c>
      <c r="C97" t="s">
        <v>31</v>
      </c>
      <c r="D97" t="s">
        <v>20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 t="shared" si="3"/>
        <v>0</v>
      </c>
      <c r="P97">
        <f t="shared" si="4"/>
        <v>0</v>
      </c>
      <c r="Q97">
        <f t="shared" si="5"/>
        <v>0</v>
      </c>
    </row>
    <row r="98" spans="1:17">
      <c r="A98" t="s">
        <v>50</v>
      </c>
      <c r="B98" s="2">
        <v>45658</v>
      </c>
      <c r="C98" t="s">
        <v>31</v>
      </c>
      <c r="D98" t="s">
        <v>32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 t="shared" si="3"/>
        <v>0</v>
      </c>
      <c r="P98">
        <f t="shared" si="4"/>
        <v>0</v>
      </c>
      <c r="Q98">
        <f t="shared" si="5"/>
        <v>1</v>
      </c>
    </row>
    <row r="99" spans="1:17">
      <c r="A99" t="s">
        <v>50</v>
      </c>
      <c r="B99" s="2">
        <v>45689</v>
      </c>
      <c r="C99" t="s">
        <v>31</v>
      </c>
      <c r="D99" t="s">
        <v>32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 t="shared" si="3"/>
        <v>0</v>
      </c>
      <c r="P99">
        <f t="shared" si="4"/>
        <v>0</v>
      </c>
      <c r="Q99">
        <f t="shared" si="5"/>
        <v>1</v>
      </c>
    </row>
    <row r="100" spans="1:17">
      <c r="A100" t="s">
        <v>50</v>
      </c>
      <c r="B100" s="2">
        <v>45717</v>
      </c>
      <c r="C100" t="s">
        <v>31</v>
      </c>
      <c r="D100" t="s">
        <v>32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  <c r="O100">
        <f t="shared" si="3"/>
        <v>0</v>
      </c>
      <c r="P100">
        <f t="shared" si="4"/>
        <v>0</v>
      </c>
      <c r="Q100">
        <f t="shared" si="5"/>
        <v>1</v>
      </c>
    </row>
    <row r="101" spans="1:17">
      <c r="A101" t="s">
        <v>50</v>
      </c>
      <c r="B101" s="2">
        <v>45748</v>
      </c>
      <c r="C101" t="s">
        <v>31</v>
      </c>
      <c r="D101" t="s">
        <v>32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 t="shared" si="3"/>
        <v>0</v>
      </c>
      <c r="P101">
        <f t="shared" si="4"/>
        <v>0</v>
      </c>
      <c r="Q101">
        <f t="shared" si="5"/>
        <v>1</v>
      </c>
    </row>
    <row r="102" spans="1:17">
      <c r="A102" t="s">
        <v>51</v>
      </c>
      <c r="B102" s="2">
        <v>45658</v>
      </c>
      <c r="C102" t="s">
        <v>19</v>
      </c>
      <c r="D102" t="s">
        <v>32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 t="shared" si="3"/>
        <v>0</v>
      </c>
      <c r="P102">
        <f t="shared" si="4"/>
        <v>0</v>
      </c>
      <c r="Q102">
        <f t="shared" si="5"/>
        <v>1</v>
      </c>
    </row>
    <row r="103" spans="1:17">
      <c r="A103" t="s">
        <v>51</v>
      </c>
      <c r="B103" s="2">
        <v>45689</v>
      </c>
      <c r="C103" t="s">
        <v>19</v>
      </c>
      <c r="D103" t="s">
        <v>32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 t="shared" si="3"/>
        <v>0</v>
      </c>
      <c r="P103">
        <f t="shared" si="4"/>
        <v>0</v>
      </c>
      <c r="Q103">
        <f t="shared" si="5"/>
        <v>1</v>
      </c>
    </row>
    <row r="104" spans="1:17">
      <c r="A104" t="s">
        <v>51</v>
      </c>
      <c r="B104" s="2">
        <v>45717</v>
      </c>
      <c r="C104" t="s">
        <v>19</v>
      </c>
      <c r="D104" t="s">
        <v>32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 t="shared" si="3"/>
        <v>0</v>
      </c>
      <c r="P104">
        <f t="shared" si="4"/>
        <v>0</v>
      </c>
      <c r="Q104">
        <f t="shared" si="5"/>
        <v>1</v>
      </c>
    </row>
    <row r="105" spans="1:17">
      <c r="A105" t="s">
        <v>51</v>
      </c>
      <c r="B105" s="2">
        <v>45748</v>
      </c>
      <c r="C105" t="s">
        <v>19</v>
      </c>
      <c r="D105" t="s">
        <v>32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 t="shared" si="3"/>
        <v>0</v>
      </c>
      <c r="P105">
        <f t="shared" si="4"/>
        <v>0</v>
      </c>
      <c r="Q105">
        <f t="shared" si="5"/>
        <v>1</v>
      </c>
    </row>
    <row r="106" spans="1:17">
      <c r="A106" t="s">
        <v>52</v>
      </c>
      <c r="B106" s="2">
        <v>45658</v>
      </c>
      <c r="C106" t="s">
        <v>31</v>
      </c>
      <c r="D106" t="s">
        <v>22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 t="shared" si="3"/>
        <v>0</v>
      </c>
      <c r="P106">
        <f t="shared" si="4"/>
        <v>1</v>
      </c>
      <c r="Q106">
        <f t="shared" si="5"/>
        <v>0</v>
      </c>
    </row>
    <row r="107" spans="1:17">
      <c r="A107" t="s">
        <v>52</v>
      </c>
      <c r="B107" s="2">
        <v>45689</v>
      </c>
      <c r="C107" t="s">
        <v>31</v>
      </c>
      <c r="D107" t="s">
        <v>22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 t="shared" si="3"/>
        <v>0</v>
      </c>
      <c r="P107">
        <f t="shared" si="4"/>
        <v>1</v>
      </c>
      <c r="Q107">
        <f t="shared" si="5"/>
        <v>0</v>
      </c>
    </row>
    <row r="108" spans="1:17">
      <c r="A108" t="s">
        <v>52</v>
      </c>
      <c r="B108" s="2">
        <v>45717</v>
      </c>
      <c r="C108" t="s">
        <v>31</v>
      </c>
      <c r="D108" t="s">
        <v>22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 t="shared" si="3"/>
        <v>0</v>
      </c>
      <c r="P108">
        <f t="shared" si="4"/>
        <v>1</v>
      </c>
      <c r="Q108">
        <f t="shared" si="5"/>
        <v>0</v>
      </c>
    </row>
    <row r="109" spans="1:17">
      <c r="A109" t="s">
        <v>52</v>
      </c>
      <c r="B109" s="2">
        <v>45748</v>
      </c>
      <c r="C109" t="s">
        <v>31</v>
      </c>
      <c r="D109" t="s">
        <v>22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 t="shared" si="3"/>
        <v>0</v>
      </c>
      <c r="P109">
        <f t="shared" si="4"/>
        <v>1</v>
      </c>
      <c r="Q109">
        <f t="shared" si="5"/>
        <v>0</v>
      </c>
    </row>
    <row r="110" spans="1:17">
      <c r="A110" t="s">
        <v>53</v>
      </c>
      <c r="B110" s="2">
        <v>45658</v>
      </c>
      <c r="C110" t="s">
        <v>19</v>
      </c>
      <c r="D110" t="s">
        <v>32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 t="shared" si="3"/>
        <v>0</v>
      </c>
      <c r="P110">
        <f t="shared" si="4"/>
        <v>0</v>
      </c>
      <c r="Q110">
        <f t="shared" si="5"/>
        <v>1</v>
      </c>
    </row>
    <row r="111" spans="1:17">
      <c r="A111" t="s">
        <v>53</v>
      </c>
      <c r="B111" s="2">
        <v>45689</v>
      </c>
      <c r="C111" t="s">
        <v>19</v>
      </c>
      <c r="D111" t="s">
        <v>32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 t="shared" si="3"/>
        <v>0</v>
      </c>
      <c r="P111">
        <f t="shared" si="4"/>
        <v>0</v>
      </c>
      <c r="Q111">
        <f t="shared" si="5"/>
        <v>1</v>
      </c>
    </row>
    <row r="112" spans="1:17">
      <c r="A112" t="s">
        <v>53</v>
      </c>
      <c r="B112" s="2">
        <v>45717</v>
      </c>
      <c r="C112" t="s">
        <v>19</v>
      </c>
      <c r="D112" t="s">
        <v>32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 t="shared" si="3"/>
        <v>0</v>
      </c>
      <c r="P112">
        <f t="shared" si="4"/>
        <v>0</v>
      </c>
      <c r="Q112">
        <f t="shared" si="5"/>
        <v>1</v>
      </c>
    </row>
    <row r="113" spans="1:17">
      <c r="A113" t="s">
        <v>53</v>
      </c>
      <c r="B113" s="2">
        <v>45748</v>
      </c>
      <c r="C113" t="s">
        <v>19</v>
      </c>
      <c r="D113" t="s">
        <v>32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 t="shared" si="3"/>
        <v>0</v>
      </c>
      <c r="P113">
        <f t="shared" si="4"/>
        <v>0</v>
      </c>
      <c r="Q113">
        <f t="shared" si="5"/>
        <v>1</v>
      </c>
    </row>
    <row r="114" spans="1:17">
      <c r="A114" t="s">
        <v>54</v>
      </c>
      <c r="B114" s="2">
        <v>45658</v>
      </c>
      <c r="C114" t="s">
        <v>31</v>
      </c>
      <c r="D114" t="s">
        <v>32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 t="shared" si="3"/>
        <v>0</v>
      </c>
      <c r="P114">
        <f t="shared" si="4"/>
        <v>0</v>
      </c>
      <c r="Q114">
        <f t="shared" si="5"/>
        <v>1</v>
      </c>
    </row>
    <row r="115" spans="1:17">
      <c r="A115" t="s">
        <v>54</v>
      </c>
      <c r="B115" s="2">
        <v>45689</v>
      </c>
      <c r="C115" t="s">
        <v>31</v>
      </c>
      <c r="D115" t="s">
        <v>32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 t="shared" si="3"/>
        <v>0</v>
      </c>
      <c r="P115">
        <f t="shared" si="4"/>
        <v>0</v>
      </c>
      <c r="Q115">
        <f t="shared" si="5"/>
        <v>1</v>
      </c>
    </row>
    <row r="116" spans="1:17">
      <c r="A116" t="s">
        <v>54</v>
      </c>
      <c r="B116" s="2">
        <v>45717</v>
      </c>
      <c r="C116" t="s">
        <v>31</v>
      </c>
      <c r="D116" t="s">
        <v>32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 t="shared" si="3"/>
        <v>0</v>
      </c>
      <c r="P116">
        <f t="shared" si="4"/>
        <v>0</v>
      </c>
      <c r="Q116">
        <f t="shared" si="5"/>
        <v>1</v>
      </c>
    </row>
    <row r="117" spans="1:17">
      <c r="A117" t="s">
        <v>54</v>
      </c>
      <c r="B117" s="2">
        <v>45748</v>
      </c>
      <c r="C117" t="s">
        <v>31</v>
      </c>
      <c r="D117" t="s">
        <v>32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 t="shared" si="3"/>
        <v>0</v>
      </c>
      <c r="P117">
        <f t="shared" si="4"/>
        <v>0</v>
      </c>
      <c r="Q117">
        <f t="shared" si="5"/>
        <v>1</v>
      </c>
    </row>
    <row r="118" spans="1:17">
      <c r="A118" t="s">
        <v>55</v>
      </c>
      <c r="B118" s="2">
        <v>45658</v>
      </c>
      <c r="C118" t="s">
        <v>31</v>
      </c>
      <c r="D118" t="s">
        <v>20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 t="shared" si="3"/>
        <v>0</v>
      </c>
      <c r="P118">
        <f t="shared" si="4"/>
        <v>0</v>
      </c>
      <c r="Q118">
        <f t="shared" si="5"/>
        <v>0</v>
      </c>
    </row>
    <row r="119" spans="1:17">
      <c r="A119" t="s">
        <v>55</v>
      </c>
      <c r="B119" s="2">
        <v>45689</v>
      </c>
      <c r="C119" t="s">
        <v>31</v>
      </c>
      <c r="D119" t="s">
        <v>20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 t="shared" si="3"/>
        <v>0</v>
      </c>
      <c r="P119">
        <f t="shared" si="4"/>
        <v>0</v>
      </c>
      <c r="Q119">
        <f t="shared" si="5"/>
        <v>0</v>
      </c>
    </row>
    <row r="120" spans="1:17">
      <c r="A120" t="s">
        <v>55</v>
      </c>
      <c r="B120" s="2">
        <v>45717</v>
      </c>
      <c r="C120" t="s">
        <v>31</v>
      </c>
      <c r="D120" t="s">
        <v>20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 t="shared" si="3"/>
        <v>0</v>
      </c>
      <c r="P120">
        <f t="shared" si="4"/>
        <v>0</v>
      </c>
      <c r="Q120">
        <f t="shared" si="5"/>
        <v>0</v>
      </c>
    </row>
    <row r="121" spans="1:17">
      <c r="A121" t="s">
        <v>55</v>
      </c>
      <c r="B121" s="2">
        <v>45748</v>
      </c>
      <c r="C121" t="s">
        <v>31</v>
      </c>
      <c r="D121" t="s">
        <v>20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 t="shared" si="3"/>
        <v>0</v>
      </c>
      <c r="P121">
        <f t="shared" si="4"/>
        <v>0</v>
      </c>
      <c r="Q121">
        <f t="shared" si="5"/>
        <v>0</v>
      </c>
    </row>
    <row r="122" spans="1:17">
      <c r="A122" t="s">
        <v>56</v>
      </c>
      <c r="B122" s="2">
        <v>45658</v>
      </c>
      <c r="C122" t="s">
        <v>24</v>
      </c>
      <c r="D122" t="s">
        <v>22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 t="shared" si="3"/>
        <v>0</v>
      </c>
      <c r="P122">
        <f t="shared" si="4"/>
        <v>1</v>
      </c>
      <c r="Q122">
        <f t="shared" si="5"/>
        <v>0</v>
      </c>
    </row>
    <row r="123" spans="1:17">
      <c r="A123" t="s">
        <v>56</v>
      </c>
      <c r="B123" s="2">
        <v>45689</v>
      </c>
      <c r="C123" t="s">
        <v>24</v>
      </c>
      <c r="D123" t="s">
        <v>22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 t="shared" si="3"/>
        <v>0</v>
      </c>
      <c r="P123">
        <f t="shared" si="4"/>
        <v>1</v>
      </c>
      <c r="Q123">
        <f t="shared" si="5"/>
        <v>0</v>
      </c>
    </row>
    <row r="124" spans="1:17">
      <c r="A124" t="s">
        <v>56</v>
      </c>
      <c r="B124" s="2">
        <v>45717</v>
      </c>
      <c r="C124" t="s">
        <v>24</v>
      </c>
      <c r="D124" t="s">
        <v>22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 t="shared" si="3"/>
        <v>0</v>
      </c>
      <c r="P124">
        <f t="shared" si="4"/>
        <v>1</v>
      </c>
      <c r="Q124">
        <f t="shared" si="5"/>
        <v>0</v>
      </c>
    </row>
    <row r="125" spans="1:17">
      <c r="A125" t="s">
        <v>56</v>
      </c>
      <c r="B125" s="2">
        <v>45748</v>
      </c>
      <c r="C125" t="s">
        <v>24</v>
      </c>
      <c r="D125" t="s">
        <v>22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 t="shared" si="3"/>
        <v>0</v>
      </c>
      <c r="P125">
        <f t="shared" si="4"/>
        <v>1</v>
      </c>
      <c r="Q125">
        <f t="shared" si="5"/>
        <v>0</v>
      </c>
    </row>
    <row r="126" spans="1:17">
      <c r="A126" t="s">
        <v>57</v>
      </c>
      <c r="B126" s="2">
        <v>45658</v>
      </c>
      <c r="C126" t="s">
        <v>28</v>
      </c>
      <c r="D126" t="s">
        <v>22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 t="shared" si="3"/>
        <v>0</v>
      </c>
      <c r="P126">
        <f t="shared" si="4"/>
        <v>1</v>
      </c>
      <c r="Q126">
        <f t="shared" si="5"/>
        <v>0</v>
      </c>
    </row>
    <row r="127" spans="1:17">
      <c r="A127" t="s">
        <v>57</v>
      </c>
      <c r="B127" s="2">
        <v>45689</v>
      </c>
      <c r="C127" t="s">
        <v>28</v>
      </c>
      <c r="D127" t="s">
        <v>22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 t="shared" si="3"/>
        <v>0</v>
      </c>
      <c r="P127">
        <f t="shared" si="4"/>
        <v>1</v>
      </c>
      <c r="Q127">
        <f t="shared" si="5"/>
        <v>0</v>
      </c>
    </row>
    <row r="128" spans="1:17">
      <c r="A128" t="s">
        <v>57</v>
      </c>
      <c r="B128" s="2">
        <v>45717</v>
      </c>
      <c r="C128" t="s">
        <v>28</v>
      </c>
      <c r="D128" t="s">
        <v>22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 t="shared" si="3"/>
        <v>0</v>
      </c>
      <c r="P128">
        <f t="shared" si="4"/>
        <v>1</v>
      </c>
      <c r="Q128">
        <f t="shared" si="5"/>
        <v>0</v>
      </c>
    </row>
    <row r="129" spans="1:17">
      <c r="A129" t="s">
        <v>57</v>
      </c>
      <c r="B129" s="2">
        <v>45748</v>
      </c>
      <c r="C129" t="s">
        <v>28</v>
      </c>
      <c r="D129" t="s">
        <v>22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 t="shared" si="3"/>
        <v>0</v>
      </c>
      <c r="P129">
        <f t="shared" si="4"/>
        <v>1</v>
      </c>
      <c r="Q129">
        <f t="shared" si="5"/>
        <v>0</v>
      </c>
    </row>
    <row r="130" spans="1:17">
      <c r="A130" t="s">
        <v>58</v>
      </c>
      <c r="B130" s="2">
        <v>45658</v>
      </c>
      <c r="C130" t="s">
        <v>19</v>
      </c>
      <c r="D130" t="s">
        <v>22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 t="shared" si="3"/>
        <v>0</v>
      </c>
      <c r="P130">
        <f t="shared" si="4"/>
        <v>1</v>
      </c>
      <c r="Q130">
        <f t="shared" si="5"/>
        <v>0</v>
      </c>
    </row>
    <row r="131" spans="1:17">
      <c r="A131" t="s">
        <v>58</v>
      </c>
      <c r="B131" s="2">
        <v>45689</v>
      </c>
      <c r="C131" t="s">
        <v>19</v>
      </c>
      <c r="D131" t="s">
        <v>22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 t="shared" ref="O131:O194" si="6">IF(D131="Airport",1,0)</f>
        <v>0</v>
      </c>
      <c r="P131">
        <f t="shared" ref="P131:P194" si="7">IF(D131="High Street",1,0)</f>
        <v>1</v>
      </c>
      <c r="Q131">
        <f t="shared" ref="Q131:Q194" si="8">IF(D131="Mall",1,0)</f>
        <v>0</v>
      </c>
    </row>
    <row r="132" spans="1:17">
      <c r="A132" t="s">
        <v>58</v>
      </c>
      <c r="B132" s="2">
        <v>45717</v>
      </c>
      <c r="C132" t="s">
        <v>19</v>
      </c>
      <c r="D132" t="s">
        <v>22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 t="shared" si="6"/>
        <v>0</v>
      </c>
      <c r="P132">
        <f t="shared" si="7"/>
        <v>1</v>
      </c>
      <c r="Q132">
        <f t="shared" si="8"/>
        <v>0</v>
      </c>
    </row>
    <row r="133" spans="1:17">
      <c r="A133" t="s">
        <v>58</v>
      </c>
      <c r="B133" s="2">
        <v>45748</v>
      </c>
      <c r="C133" t="s">
        <v>19</v>
      </c>
      <c r="D133" t="s">
        <v>22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 t="shared" si="6"/>
        <v>0</v>
      </c>
      <c r="P133">
        <f t="shared" si="7"/>
        <v>1</v>
      </c>
      <c r="Q133">
        <f t="shared" si="8"/>
        <v>0</v>
      </c>
    </row>
    <row r="134" spans="1:17">
      <c r="A134" t="s">
        <v>59</v>
      </c>
      <c r="B134" s="2">
        <v>45658</v>
      </c>
      <c r="C134" t="s">
        <v>24</v>
      </c>
      <c r="D134" t="s">
        <v>22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 t="shared" si="6"/>
        <v>0</v>
      </c>
      <c r="P134">
        <f t="shared" si="7"/>
        <v>1</v>
      </c>
      <c r="Q134">
        <f t="shared" si="8"/>
        <v>0</v>
      </c>
    </row>
    <row r="135" spans="1:17">
      <c r="A135" t="s">
        <v>59</v>
      </c>
      <c r="B135" s="2">
        <v>45689</v>
      </c>
      <c r="C135" t="s">
        <v>24</v>
      </c>
      <c r="D135" t="s">
        <v>22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  <c r="O135">
        <f t="shared" si="6"/>
        <v>0</v>
      </c>
      <c r="P135">
        <f t="shared" si="7"/>
        <v>1</v>
      </c>
      <c r="Q135">
        <f t="shared" si="8"/>
        <v>0</v>
      </c>
    </row>
    <row r="136" spans="1:17">
      <c r="A136" t="s">
        <v>59</v>
      </c>
      <c r="B136" s="2">
        <v>45717</v>
      </c>
      <c r="C136" t="s">
        <v>24</v>
      </c>
      <c r="D136" t="s">
        <v>22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 t="shared" si="6"/>
        <v>0</v>
      </c>
      <c r="P136">
        <f t="shared" si="7"/>
        <v>1</v>
      </c>
      <c r="Q136">
        <f t="shared" si="8"/>
        <v>0</v>
      </c>
    </row>
    <row r="137" spans="1:17">
      <c r="A137" t="s">
        <v>59</v>
      </c>
      <c r="B137" s="2">
        <v>45748</v>
      </c>
      <c r="C137" t="s">
        <v>24</v>
      </c>
      <c r="D137" t="s">
        <v>22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 t="shared" si="6"/>
        <v>0</v>
      </c>
      <c r="P137">
        <f t="shared" si="7"/>
        <v>1</v>
      </c>
      <c r="Q137">
        <f t="shared" si="8"/>
        <v>0</v>
      </c>
    </row>
    <row r="138" spans="1:17">
      <c r="A138" t="s">
        <v>60</v>
      </c>
      <c r="B138" s="2">
        <v>45658</v>
      </c>
      <c r="C138" t="s">
        <v>28</v>
      </c>
      <c r="D138" t="s">
        <v>20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  <c r="O138">
        <f t="shared" si="6"/>
        <v>0</v>
      </c>
      <c r="P138">
        <f t="shared" si="7"/>
        <v>0</v>
      </c>
      <c r="Q138">
        <f t="shared" si="8"/>
        <v>0</v>
      </c>
    </row>
    <row r="139" spans="1:17">
      <c r="A139" t="s">
        <v>60</v>
      </c>
      <c r="B139" s="2">
        <v>45689</v>
      </c>
      <c r="C139" t="s">
        <v>28</v>
      </c>
      <c r="D139" t="s">
        <v>20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 t="shared" si="6"/>
        <v>0</v>
      </c>
      <c r="P139">
        <f t="shared" si="7"/>
        <v>0</v>
      </c>
      <c r="Q139">
        <f t="shared" si="8"/>
        <v>0</v>
      </c>
    </row>
    <row r="140" spans="1:17">
      <c r="A140" t="s">
        <v>60</v>
      </c>
      <c r="B140" s="2">
        <v>45717</v>
      </c>
      <c r="C140" t="s">
        <v>28</v>
      </c>
      <c r="D140" t="s">
        <v>20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 t="shared" si="6"/>
        <v>0</v>
      </c>
      <c r="P140">
        <f t="shared" si="7"/>
        <v>0</v>
      </c>
      <c r="Q140">
        <f t="shared" si="8"/>
        <v>0</v>
      </c>
    </row>
    <row r="141" spans="1:17">
      <c r="A141" t="s">
        <v>60</v>
      </c>
      <c r="B141" s="2">
        <v>45748</v>
      </c>
      <c r="C141" t="s">
        <v>28</v>
      </c>
      <c r="D141" t="s">
        <v>20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 t="shared" si="6"/>
        <v>0</v>
      </c>
      <c r="P141">
        <f t="shared" si="7"/>
        <v>0</v>
      </c>
      <c r="Q141">
        <f t="shared" si="8"/>
        <v>0</v>
      </c>
    </row>
    <row r="142" spans="1:17">
      <c r="A142" t="s">
        <v>61</v>
      </c>
      <c r="B142" s="2">
        <v>45658</v>
      </c>
      <c r="C142" t="s">
        <v>31</v>
      </c>
      <c r="D142" t="s">
        <v>22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 t="shared" si="6"/>
        <v>0</v>
      </c>
      <c r="P142">
        <f t="shared" si="7"/>
        <v>1</v>
      </c>
      <c r="Q142">
        <f t="shared" si="8"/>
        <v>0</v>
      </c>
    </row>
    <row r="143" spans="1:17">
      <c r="A143" t="s">
        <v>61</v>
      </c>
      <c r="B143" s="2">
        <v>45689</v>
      </c>
      <c r="C143" t="s">
        <v>31</v>
      </c>
      <c r="D143" t="s">
        <v>22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 t="shared" si="6"/>
        <v>0</v>
      </c>
      <c r="P143">
        <f t="shared" si="7"/>
        <v>1</v>
      </c>
      <c r="Q143">
        <f t="shared" si="8"/>
        <v>0</v>
      </c>
    </row>
    <row r="144" spans="1:17">
      <c r="A144" t="s">
        <v>61</v>
      </c>
      <c r="B144" s="2">
        <v>45717</v>
      </c>
      <c r="C144" t="s">
        <v>31</v>
      </c>
      <c r="D144" t="s">
        <v>22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 t="shared" si="6"/>
        <v>0</v>
      </c>
      <c r="P144">
        <f t="shared" si="7"/>
        <v>1</v>
      </c>
      <c r="Q144">
        <f t="shared" si="8"/>
        <v>0</v>
      </c>
    </row>
    <row r="145" spans="1:17">
      <c r="A145" t="s">
        <v>61</v>
      </c>
      <c r="B145" s="2">
        <v>45748</v>
      </c>
      <c r="C145" t="s">
        <v>31</v>
      </c>
      <c r="D145" t="s">
        <v>22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 t="shared" si="6"/>
        <v>0</v>
      </c>
      <c r="P145">
        <f t="shared" si="7"/>
        <v>1</v>
      </c>
      <c r="Q145">
        <f t="shared" si="8"/>
        <v>0</v>
      </c>
    </row>
    <row r="146" spans="1:17">
      <c r="A146" t="s">
        <v>62</v>
      </c>
      <c r="B146" s="2">
        <v>45658</v>
      </c>
      <c r="C146" t="s">
        <v>24</v>
      </c>
      <c r="D146" t="s">
        <v>20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 t="shared" si="6"/>
        <v>0</v>
      </c>
      <c r="P146">
        <f t="shared" si="7"/>
        <v>0</v>
      </c>
      <c r="Q146">
        <f t="shared" si="8"/>
        <v>0</v>
      </c>
    </row>
    <row r="147" spans="1:17">
      <c r="A147" t="s">
        <v>62</v>
      </c>
      <c r="B147" s="2">
        <v>45689</v>
      </c>
      <c r="C147" t="s">
        <v>24</v>
      </c>
      <c r="D147" t="s">
        <v>20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 t="shared" si="6"/>
        <v>0</v>
      </c>
      <c r="P147">
        <f t="shared" si="7"/>
        <v>0</v>
      </c>
      <c r="Q147">
        <f t="shared" si="8"/>
        <v>0</v>
      </c>
    </row>
    <row r="148" spans="1:17">
      <c r="A148" t="s">
        <v>62</v>
      </c>
      <c r="B148" s="2">
        <v>45717</v>
      </c>
      <c r="C148" t="s">
        <v>24</v>
      </c>
      <c r="D148" t="s">
        <v>20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 t="shared" si="6"/>
        <v>0</v>
      </c>
      <c r="P148">
        <f t="shared" si="7"/>
        <v>0</v>
      </c>
      <c r="Q148">
        <f t="shared" si="8"/>
        <v>0</v>
      </c>
    </row>
    <row r="149" spans="1:17">
      <c r="A149" t="s">
        <v>62</v>
      </c>
      <c r="B149" s="2">
        <v>45748</v>
      </c>
      <c r="C149" t="s">
        <v>24</v>
      </c>
      <c r="D149" t="s">
        <v>20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 t="shared" si="6"/>
        <v>0</v>
      </c>
      <c r="P149">
        <f t="shared" si="7"/>
        <v>0</v>
      </c>
      <c r="Q149">
        <f t="shared" si="8"/>
        <v>0</v>
      </c>
    </row>
    <row r="150" spans="1:17">
      <c r="A150" t="s">
        <v>63</v>
      </c>
      <c r="B150" s="2">
        <v>45658</v>
      </c>
      <c r="C150" t="s">
        <v>28</v>
      </c>
      <c r="D150" t="s">
        <v>32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 t="shared" si="6"/>
        <v>0</v>
      </c>
      <c r="P150">
        <f t="shared" si="7"/>
        <v>0</v>
      </c>
      <c r="Q150">
        <f t="shared" si="8"/>
        <v>1</v>
      </c>
    </row>
    <row r="151" spans="1:17">
      <c r="A151" t="s">
        <v>63</v>
      </c>
      <c r="B151" s="2">
        <v>45689</v>
      </c>
      <c r="C151" t="s">
        <v>28</v>
      </c>
      <c r="D151" t="s">
        <v>32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 t="shared" si="6"/>
        <v>0</v>
      </c>
      <c r="P151">
        <f t="shared" si="7"/>
        <v>0</v>
      </c>
      <c r="Q151">
        <f t="shared" si="8"/>
        <v>1</v>
      </c>
    </row>
    <row r="152" spans="1:17">
      <c r="A152" t="s">
        <v>63</v>
      </c>
      <c r="B152" s="2">
        <v>45717</v>
      </c>
      <c r="C152" t="s">
        <v>28</v>
      </c>
      <c r="D152" t="s">
        <v>32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 t="shared" si="6"/>
        <v>0</v>
      </c>
      <c r="P152">
        <f t="shared" si="7"/>
        <v>0</v>
      </c>
      <c r="Q152">
        <f t="shared" si="8"/>
        <v>1</v>
      </c>
    </row>
    <row r="153" spans="1:17">
      <c r="A153" t="s">
        <v>63</v>
      </c>
      <c r="B153" s="2">
        <v>45748</v>
      </c>
      <c r="C153" t="s">
        <v>28</v>
      </c>
      <c r="D153" t="s">
        <v>32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 t="shared" si="6"/>
        <v>0</v>
      </c>
      <c r="P153">
        <f t="shared" si="7"/>
        <v>0</v>
      </c>
      <c r="Q153">
        <f t="shared" si="8"/>
        <v>1</v>
      </c>
    </row>
    <row r="154" spans="1:17">
      <c r="A154" t="s">
        <v>64</v>
      </c>
      <c r="B154" s="2">
        <v>45658</v>
      </c>
      <c r="C154" t="s">
        <v>19</v>
      </c>
      <c r="D154" t="s">
        <v>22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 t="shared" si="6"/>
        <v>0</v>
      </c>
      <c r="P154">
        <f t="shared" si="7"/>
        <v>1</v>
      </c>
      <c r="Q154">
        <f t="shared" si="8"/>
        <v>0</v>
      </c>
    </row>
    <row r="155" spans="1:17">
      <c r="A155" t="s">
        <v>64</v>
      </c>
      <c r="B155" s="2">
        <v>45689</v>
      </c>
      <c r="C155" t="s">
        <v>19</v>
      </c>
      <c r="D155" t="s">
        <v>22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 t="shared" si="6"/>
        <v>0</v>
      </c>
      <c r="P155">
        <f t="shared" si="7"/>
        <v>1</v>
      </c>
      <c r="Q155">
        <f t="shared" si="8"/>
        <v>0</v>
      </c>
    </row>
    <row r="156" spans="1:17">
      <c r="A156" t="s">
        <v>64</v>
      </c>
      <c r="B156" s="2">
        <v>45717</v>
      </c>
      <c r="C156" t="s">
        <v>19</v>
      </c>
      <c r="D156" t="s">
        <v>22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 t="shared" si="6"/>
        <v>0</v>
      </c>
      <c r="P156">
        <f t="shared" si="7"/>
        <v>1</v>
      </c>
      <c r="Q156">
        <f t="shared" si="8"/>
        <v>0</v>
      </c>
    </row>
    <row r="157" spans="1:17">
      <c r="A157" t="s">
        <v>64</v>
      </c>
      <c r="B157" s="2">
        <v>45748</v>
      </c>
      <c r="C157" t="s">
        <v>19</v>
      </c>
      <c r="D157" t="s">
        <v>22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 t="shared" si="6"/>
        <v>0</v>
      </c>
      <c r="P157">
        <f t="shared" si="7"/>
        <v>1</v>
      </c>
      <c r="Q157">
        <f t="shared" si="8"/>
        <v>0</v>
      </c>
    </row>
    <row r="158" spans="1:17">
      <c r="A158" t="s">
        <v>65</v>
      </c>
      <c r="B158" s="2">
        <v>45658</v>
      </c>
      <c r="C158" t="s">
        <v>24</v>
      </c>
      <c r="D158" t="s">
        <v>32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 t="shared" si="6"/>
        <v>0</v>
      </c>
      <c r="P158">
        <f t="shared" si="7"/>
        <v>0</v>
      </c>
      <c r="Q158">
        <f t="shared" si="8"/>
        <v>1</v>
      </c>
    </row>
    <row r="159" spans="1:17">
      <c r="A159" t="s">
        <v>65</v>
      </c>
      <c r="B159" s="2">
        <v>45689</v>
      </c>
      <c r="C159" t="s">
        <v>24</v>
      </c>
      <c r="D159" t="s">
        <v>32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 t="shared" si="6"/>
        <v>0</v>
      </c>
      <c r="P159">
        <f t="shared" si="7"/>
        <v>0</v>
      </c>
      <c r="Q159">
        <f t="shared" si="8"/>
        <v>1</v>
      </c>
    </row>
    <row r="160" spans="1:17">
      <c r="A160" t="s">
        <v>65</v>
      </c>
      <c r="B160" s="2">
        <v>45717</v>
      </c>
      <c r="C160" t="s">
        <v>24</v>
      </c>
      <c r="D160" t="s">
        <v>32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 t="shared" si="6"/>
        <v>0</v>
      </c>
      <c r="P160">
        <f t="shared" si="7"/>
        <v>0</v>
      </c>
      <c r="Q160">
        <f t="shared" si="8"/>
        <v>1</v>
      </c>
    </row>
    <row r="161" spans="1:17">
      <c r="A161" t="s">
        <v>65</v>
      </c>
      <c r="B161" s="2">
        <v>45748</v>
      </c>
      <c r="C161" t="s">
        <v>24</v>
      </c>
      <c r="D161" t="s">
        <v>32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 t="shared" si="6"/>
        <v>0</v>
      </c>
      <c r="P161">
        <f t="shared" si="7"/>
        <v>0</v>
      </c>
      <c r="Q161">
        <f t="shared" si="8"/>
        <v>1</v>
      </c>
    </row>
    <row r="162" spans="1:17">
      <c r="A162" t="s">
        <v>66</v>
      </c>
      <c r="B162" s="2">
        <v>45658</v>
      </c>
      <c r="C162" t="s">
        <v>28</v>
      </c>
      <c r="D162" t="s">
        <v>22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 t="shared" si="6"/>
        <v>0</v>
      </c>
      <c r="P162">
        <f t="shared" si="7"/>
        <v>1</v>
      </c>
      <c r="Q162">
        <f t="shared" si="8"/>
        <v>0</v>
      </c>
    </row>
    <row r="163" spans="1:17">
      <c r="A163" t="s">
        <v>66</v>
      </c>
      <c r="B163" s="2">
        <v>45689</v>
      </c>
      <c r="C163" t="s">
        <v>28</v>
      </c>
      <c r="D163" t="s">
        <v>22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 t="shared" si="6"/>
        <v>0</v>
      </c>
      <c r="P163">
        <f t="shared" si="7"/>
        <v>1</v>
      </c>
      <c r="Q163">
        <f t="shared" si="8"/>
        <v>0</v>
      </c>
    </row>
    <row r="164" spans="1:17">
      <c r="A164" t="s">
        <v>66</v>
      </c>
      <c r="B164" s="2">
        <v>45717</v>
      </c>
      <c r="C164" t="s">
        <v>28</v>
      </c>
      <c r="D164" t="s">
        <v>22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  <c r="O164">
        <f t="shared" si="6"/>
        <v>0</v>
      </c>
      <c r="P164">
        <f t="shared" si="7"/>
        <v>1</v>
      </c>
      <c r="Q164">
        <f t="shared" si="8"/>
        <v>0</v>
      </c>
    </row>
    <row r="165" spans="1:17">
      <c r="A165" t="s">
        <v>66</v>
      </c>
      <c r="B165" s="2">
        <v>45748</v>
      </c>
      <c r="C165" t="s">
        <v>28</v>
      </c>
      <c r="D165" t="s">
        <v>22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 t="shared" si="6"/>
        <v>0</v>
      </c>
      <c r="P165">
        <f t="shared" si="7"/>
        <v>1</v>
      </c>
      <c r="Q165">
        <f t="shared" si="8"/>
        <v>0</v>
      </c>
    </row>
    <row r="166" spans="1:17">
      <c r="A166" t="s">
        <v>67</v>
      </c>
      <c r="B166" s="2">
        <v>45658</v>
      </c>
      <c r="C166" t="s">
        <v>24</v>
      </c>
      <c r="D166" t="s">
        <v>32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 t="shared" si="6"/>
        <v>0</v>
      </c>
      <c r="P166">
        <f t="shared" si="7"/>
        <v>0</v>
      </c>
      <c r="Q166">
        <f t="shared" si="8"/>
        <v>1</v>
      </c>
    </row>
    <row r="167" spans="1:17">
      <c r="A167" t="s">
        <v>67</v>
      </c>
      <c r="B167" s="2">
        <v>45689</v>
      </c>
      <c r="C167" t="s">
        <v>24</v>
      </c>
      <c r="D167" t="s">
        <v>32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 t="shared" si="6"/>
        <v>0</v>
      </c>
      <c r="P167">
        <f t="shared" si="7"/>
        <v>0</v>
      </c>
      <c r="Q167">
        <f t="shared" si="8"/>
        <v>1</v>
      </c>
    </row>
    <row r="168" spans="1:17">
      <c r="A168" t="s">
        <v>67</v>
      </c>
      <c r="B168" s="2">
        <v>45717</v>
      </c>
      <c r="C168" t="s">
        <v>24</v>
      </c>
      <c r="D168" t="s">
        <v>32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 t="shared" si="6"/>
        <v>0</v>
      </c>
      <c r="P168">
        <f t="shared" si="7"/>
        <v>0</v>
      </c>
      <c r="Q168">
        <f t="shared" si="8"/>
        <v>1</v>
      </c>
    </row>
    <row r="169" spans="1:17">
      <c r="A169" t="s">
        <v>67</v>
      </c>
      <c r="B169" s="2">
        <v>45748</v>
      </c>
      <c r="C169" t="s">
        <v>24</v>
      </c>
      <c r="D169" t="s">
        <v>32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 t="shared" si="6"/>
        <v>0</v>
      </c>
      <c r="P169">
        <f t="shared" si="7"/>
        <v>0</v>
      </c>
      <c r="Q169">
        <f t="shared" si="8"/>
        <v>1</v>
      </c>
    </row>
    <row r="170" spans="1:17">
      <c r="A170" t="s">
        <v>68</v>
      </c>
      <c r="B170" s="2">
        <v>45658</v>
      </c>
      <c r="C170" t="s">
        <v>19</v>
      </c>
      <c r="D170" t="s">
        <v>20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 t="shared" si="6"/>
        <v>0</v>
      </c>
      <c r="P170">
        <f t="shared" si="7"/>
        <v>0</v>
      </c>
      <c r="Q170">
        <f t="shared" si="8"/>
        <v>0</v>
      </c>
    </row>
    <row r="171" spans="1:17">
      <c r="A171" t="s">
        <v>68</v>
      </c>
      <c r="B171" s="2">
        <v>45689</v>
      </c>
      <c r="C171" t="s">
        <v>19</v>
      </c>
      <c r="D171" t="s">
        <v>20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 t="shared" si="6"/>
        <v>0</v>
      </c>
      <c r="P171">
        <f t="shared" si="7"/>
        <v>0</v>
      </c>
      <c r="Q171">
        <f t="shared" si="8"/>
        <v>0</v>
      </c>
    </row>
    <row r="172" spans="1:17">
      <c r="A172" t="s">
        <v>68</v>
      </c>
      <c r="B172" s="2">
        <v>45717</v>
      </c>
      <c r="C172" t="s">
        <v>19</v>
      </c>
      <c r="D172" t="s">
        <v>20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 t="shared" si="6"/>
        <v>0</v>
      </c>
      <c r="P172">
        <f t="shared" si="7"/>
        <v>0</v>
      </c>
      <c r="Q172">
        <f t="shared" si="8"/>
        <v>0</v>
      </c>
    </row>
    <row r="173" spans="1:17">
      <c r="A173" t="s">
        <v>68</v>
      </c>
      <c r="B173" s="2">
        <v>45748</v>
      </c>
      <c r="C173" t="s">
        <v>19</v>
      </c>
      <c r="D173" t="s">
        <v>20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 t="shared" si="6"/>
        <v>0</v>
      </c>
      <c r="P173">
        <f t="shared" si="7"/>
        <v>0</v>
      </c>
      <c r="Q173">
        <f t="shared" si="8"/>
        <v>0</v>
      </c>
    </row>
    <row r="174" spans="1:17">
      <c r="A174" t="s">
        <v>69</v>
      </c>
      <c r="B174" s="2">
        <v>45658</v>
      </c>
      <c r="C174" t="s">
        <v>19</v>
      </c>
      <c r="D174" t="s">
        <v>20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 t="shared" si="6"/>
        <v>0</v>
      </c>
      <c r="P174">
        <f t="shared" si="7"/>
        <v>0</v>
      </c>
      <c r="Q174">
        <f t="shared" si="8"/>
        <v>0</v>
      </c>
    </row>
    <row r="175" spans="1:17">
      <c r="A175" t="s">
        <v>69</v>
      </c>
      <c r="B175" s="2">
        <v>45689</v>
      </c>
      <c r="C175" t="s">
        <v>19</v>
      </c>
      <c r="D175" t="s">
        <v>20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 t="shared" si="6"/>
        <v>0</v>
      </c>
      <c r="P175">
        <f t="shared" si="7"/>
        <v>0</v>
      </c>
      <c r="Q175">
        <f t="shared" si="8"/>
        <v>0</v>
      </c>
    </row>
    <row r="176" spans="1:17">
      <c r="A176" t="s">
        <v>69</v>
      </c>
      <c r="B176" s="2">
        <v>45717</v>
      </c>
      <c r="C176" t="s">
        <v>19</v>
      </c>
      <c r="D176" t="s">
        <v>20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 t="shared" si="6"/>
        <v>0</v>
      </c>
      <c r="P176">
        <f t="shared" si="7"/>
        <v>0</v>
      </c>
      <c r="Q176">
        <f t="shared" si="8"/>
        <v>0</v>
      </c>
    </row>
    <row r="177" spans="1:17">
      <c r="A177" t="s">
        <v>69</v>
      </c>
      <c r="B177" s="2">
        <v>45748</v>
      </c>
      <c r="C177" t="s">
        <v>19</v>
      </c>
      <c r="D177" t="s">
        <v>20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 t="shared" si="6"/>
        <v>0</v>
      </c>
      <c r="P177">
        <f t="shared" si="7"/>
        <v>0</v>
      </c>
      <c r="Q177">
        <f t="shared" si="8"/>
        <v>0</v>
      </c>
    </row>
    <row r="178" spans="1:17">
      <c r="A178" t="s">
        <v>70</v>
      </c>
      <c r="B178" s="2">
        <v>45658</v>
      </c>
      <c r="C178" t="s">
        <v>31</v>
      </c>
      <c r="D178" t="s">
        <v>25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 t="shared" si="6"/>
        <v>1</v>
      </c>
      <c r="P178">
        <f t="shared" si="7"/>
        <v>0</v>
      </c>
      <c r="Q178">
        <f t="shared" si="8"/>
        <v>0</v>
      </c>
    </row>
    <row r="179" spans="1:17">
      <c r="A179" t="s">
        <v>70</v>
      </c>
      <c r="B179" s="2">
        <v>45689</v>
      </c>
      <c r="C179" t="s">
        <v>31</v>
      </c>
      <c r="D179" t="s">
        <v>25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 t="shared" si="6"/>
        <v>1</v>
      </c>
      <c r="P179">
        <f t="shared" si="7"/>
        <v>0</v>
      </c>
      <c r="Q179">
        <f t="shared" si="8"/>
        <v>0</v>
      </c>
    </row>
    <row r="180" spans="1:17">
      <c r="A180" t="s">
        <v>70</v>
      </c>
      <c r="B180" s="2">
        <v>45717</v>
      </c>
      <c r="C180" t="s">
        <v>31</v>
      </c>
      <c r="D180" t="s">
        <v>25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 t="shared" si="6"/>
        <v>1</v>
      </c>
      <c r="P180">
        <f t="shared" si="7"/>
        <v>0</v>
      </c>
      <c r="Q180">
        <f t="shared" si="8"/>
        <v>0</v>
      </c>
    </row>
    <row r="181" spans="1:17">
      <c r="A181" t="s">
        <v>70</v>
      </c>
      <c r="B181" s="2">
        <v>45748</v>
      </c>
      <c r="C181" t="s">
        <v>31</v>
      </c>
      <c r="D181" t="s">
        <v>25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 t="shared" si="6"/>
        <v>1</v>
      </c>
      <c r="P181">
        <f t="shared" si="7"/>
        <v>0</v>
      </c>
      <c r="Q181">
        <f t="shared" si="8"/>
        <v>0</v>
      </c>
    </row>
    <row r="182" spans="1:17">
      <c r="A182" t="s">
        <v>71</v>
      </c>
      <c r="B182" s="2">
        <v>45658</v>
      </c>
      <c r="C182" t="s">
        <v>31</v>
      </c>
      <c r="D182" t="s">
        <v>20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 t="shared" si="6"/>
        <v>0</v>
      </c>
      <c r="P182">
        <f t="shared" si="7"/>
        <v>0</v>
      </c>
      <c r="Q182">
        <f t="shared" si="8"/>
        <v>0</v>
      </c>
    </row>
    <row r="183" spans="1:17">
      <c r="A183" t="s">
        <v>71</v>
      </c>
      <c r="B183" s="2">
        <v>45689</v>
      </c>
      <c r="C183" t="s">
        <v>31</v>
      </c>
      <c r="D183" t="s">
        <v>20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 t="shared" si="6"/>
        <v>0</v>
      </c>
      <c r="P183">
        <f t="shared" si="7"/>
        <v>0</v>
      </c>
      <c r="Q183">
        <f t="shared" si="8"/>
        <v>0</v>
      </c>
    </row>
    <row r="184" spans="1:17">
      <c r="A184" t="s">
        <v>71</v>
      </c>
      <c r="B184" s="2">
        <v>45717</v>
      </c>
      <c r="C184" t="s">
        <v>31</v>
      </c>
      <c r="D184" t="s">
        <v>20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 t="shared" si="6"/>
        <v>0</v>
      </c>
      <c r="P184">
        <f t="shared" si="7"/>
        <v>0</v>
      </c>
      <c r="Q184">
        <f t="shared" si="8"/>
        <v>0</v>
      </c>
    </row>
    <row r="185" spans="1:17">
      <c r="A185" t="s">
        <v>71</v>
      </c>
      <c r="B185" s="2">
        <v>45748</v>
      </c>
      <c r="C185" t="s">
        <v>31</v>
      </c>
      <c r="D185" t="s">
        <v>20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 t="shared" si="6"/>
        <v>0</v>
      </c>
      <c r="P185">
        <f t="shared" si="7"/>
        <v>0</v>
      </c>
      <c r="Q185">
        <f t="shared" si="8"/>
        <v>0</v>
      </c>
    </row>
    <row r="186" spans="1:17">
      <c r="A186" t="s">
        <v>72</v>
      </c>
      <c r="B186" s="2">
        <v>45658</v>
      </c>
      <c r="C186" t="s">
        <v>24</v>
      </c>
      <c r="D186" t="s">
        <v>22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 t="shared" si="6"/>
        <v>0</v>
      </c>
      <c r="P186">
        <f t="shared" si="7"/>
        <v>1</v>
      </c>
      <c r="Q186">
        <f t="shared" si="8"/>
        <v>0</v>
      </c>
    </row>
    <row r="187" spans="1:17">
      <c r="A187" t="s">
        <v>72</v>
      </c>
      <c r="B187" s="2">
        <v>45689</v>
      </c>
      <c r="C187" t="s">
        <v>24</v>
      </c>
      <c r="D187" t="s">
        <v>22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 t="shared" si="6"/>
        <v>0</v>
      </c>
      <c r="P187">
        <f t="shared" si="7"/>
        <v>1</v>
      </c>
      <c r="Q187">
        <f t="shared" si="8"/>
        <v>0</v>
      </c>
    </row>
    <row r="188" spans="1:17">
      <c r="A188" t="s">
        <v>72</v>
      </c>
      <c r="B188" s="2">
        <v>45717</v>
      </c>
      <c r="C188" t="s">
        <v>24</v>
      </c>
      <c r="D188" t="s">
        <v>22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 t="shared" si="6"/>
        <v>0</v>
      </c>
      <c r="P188">
        <f t="shared" si="7"/>
        <v>1</v>
      </c>
      <c r="Q188">
        <f t="shared" si="8"/>
        <v>0</v>
      </c>
    </row>
    <row r="189" spans="1:17">
      <c r="A189" t="s">
        <v>72</v>
      </c>
      <c r="B189" s="2">
        <v>45748</v>
      </c>
      <c r="C189" t="s">
        <v>24</v>
      </c>
      <c r="D189" t="s">
        <v>22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 t="shared" si="6"/>
        <v>0</v>
      </c>
      <c r="P189">
        <f t="shared" si="7"/>
        <v>1</v>
      </c>
      <c r="Q189">
        <f t="shared" si="8"/>
        <v>0</v>
      </c>
    </row>
    <row r="190" spans="1:17">
      <c r="A190" t="s">
        <v>73</v>
      </c>
      <c r="B190" s="2">
        <v>45658</v>
      </c>
      <c r="C190" t="s">
        <v>19</v>
      </c>
      <c r="D190" t="s">
        <v>22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 t="shared" si="6"/>
        <v>0</v>
      </c>
      <c r="P190">
        <f t="shared" si="7"/>
        <v>1</v>
      </c>
      <c r="Q190">
        <f t="shared" si="8"/>
        <v>0</v>
      </c>
    </row>
    <row r="191" spans="1:17">
      <c r="A191" t="s">
        <v>73</v>
      </c>
      <c r="B191" s="2">
        <v>45689</v>
      </c>
      <c r="C191" t="s">
        <v>19</v>
      </c>
      <c r="D191" t="s">
        <v>22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 t="shared" si="6"/>
        <v>0</v>
      </c>
      <c r="P191">
        <f t="shared" si="7"/>
        <v>1</v>
      </c>
      <c r="Q191">
        <f t="shared" si="8"/>
        <v>0</v>
      </c>
    </row>
    <row r="192" spans="1:17">
      <c r="A192" t="s">
        <v>73</v>
      </c>
      <c r="B192" s="2">
        <v>45717</v>
      </c>
      <c r="C192" t="s">
        <v>19</v>
      </c>
      <c r="D192" t="s">
        <v>22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 t="shared" si="6"/>
        <v>0</v>
      </c>
      <c r="P192">
        <f t="shared" si="7"/>
        <v>1</v>
      </c>
      <c r="Q192">
        <f t="shared" si="8"/>
        <v>0</v>
      </c>
    </row>
    <row r="193" spans="1:17">
      <c r="A193" t="s">
        <v>73</v>
      </c>
      <c r="B193" s="2">
        <v>45748</v>
      </c>
      <c r="C193" t="s">
        <v>19</v>
      </c>
      <c r="D193" t="s">
        <v>22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 t="shared" si="6"/>
        <v>0</v>
      </c>
      <c r="P193">
        <f t="shared" si="7"/>
        <v>1</v>
      </c>
      <c r="Q193">
        <f t="shared" si="8"/>
        <v>0</v>
      </c>
    </row>
    <row r="194" spans="1:17">
      <c r="A194" t="s">
        <v>74</v>
      </c>
      <c r="B194" s="2">
        <v>45658</v>
      </c>
      <c r="C194" t="s">
        <v>31</v>
      </c>
      <c r="D194" t="s">
        <v>20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 t="shared" si="6"/>
        <v>0</v>
      </c>
      <c r="P194">
        <f t="shared" si="7"/>
        <v>0</v>
      </c>
      <c r="Q194">
        <f t="shared" si="8"/>
        <v>0</v>
      </c>
    </row>
    <row r="195" spans="1:17">
      <c r="A195" t="s">
        <v>74</v>
      </c>
      <c r="B195" s="2">
        <v>45689</v>
      </c>
      <c r="C195" t="s">
        <v>31</v>
      </c>
      <c r="D195" t="s">
        <v>20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 t="shared" ref="O195:O258" si="9">IF(D195="Airport",1,0)</f>
        <v>0</v>
      </c>
      <c r="P195">
        <f t="shared" ref="P195:P258" si="10">IF(D195="High Street",1,0)</f>
        <v>0</v>
      </c>
      <c r="Q195">
        <f t="shared" ref="Q195:Q258" si="11">IF(D195="Mall",1,0)</f>
        <v>0</v>
      </c>
    </row>
    <row r="196" spans="1:17">
      <c r="A196" t="s">
        <v>74</v>
      </c>
      <c r="B196" s="2">
        <v>45717</v>
      </c>
      <c r="C196" t="s">
        <v>31</v>
      </c>
      <c r="D196" t="s">
        <v>20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 t="shared" si="9"/>
        <v>0</v>
      </c>
      <c r="P196">
        <f t="shared" si="10"/>
        <v>0</v>
      </c>
      <c r="Q196">
        <f t="shared" si="11"/>
        <v>0</v>
      </c>
    </row>
    <row r="197" spans="1:17">
      <c r="A197" t="s">
        <v>74</v>
      </c>
      <c r="B197" s="2">
        <v>45748</v>
      </c>
      <c r="C197" t="s">
        <v>31</v>
      </c>
      <c r="D197" t="s">
        <v>20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  <c r="O197">
        <f t="shared" si="9"/>
        <v>0</v>
      </c>
      <c r="P197">
        <f t="shared" si="10"/>
        <v>0</v>
      </c>
      <c r="Q197">
        <f t="shared" si="11"/>
        <v>0</v>
      </c>
    </row>
    <row r="198" spans="1:17">
      <c r="A198" t="s">
        <v>75</v>
      </c>
      <c r="B198" s="2">
        <v>45658</v>
      </c>
      <c r="C198" t="s">
        <v>24</v>
      </c>
      <c r="D198" t="s">
        <v>20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 t="shared" si="9"/>
        <v>0</v>
      </c>
      <c r="P198">
        <f t="shared" si="10"/>
        <v>0</v>
      </c>
      <c r="Q198">
        <f t="shared" si="11"/>
        <v>0</v>
      </c>
    </row>
    <row r="199" spans="1:17">
      <c r="A199" t="s">
        <v>75</v>
      </c>
      <c r="B199" s="2">
        <v>45689</v>
      </c>
      <c r="C199" t="s">
        <v>24</v>
      </c>
      <c r="D199" t="s">
        <v>20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 t="shared" si="9"/>
        <v>0</v>
      </c>
      <c r="P199">
        <f t="shared" si="10"/>
        <v>0</v>
      </c>
      <c r="Q199">
        <f t="shared" si="11"/>
        <v>0</v>
      </c>
    </row>
    <row r="200" spans="1:17">
      <c r="A200" t="s">
        <v>75</v>
      </c>
      <c r="B200" s="2">
        <v>45717</v>
      </c>
      <c r="C200" t="s">
        <v>24</v>
      </c>
      <c r="D200" t="s">
        <v>20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 t="shared" si="9"/>
        <v>0</v>
      </c>
      <c r="P200">
        <f t="shared" si="10"/>
        <v>0</v>
      </c>
      <c r="Q200">
        <f t="shared" si="11"/>
        <v>0</v>
      </c>
    </row>
    <row r="201" spans="1:17">
      <c r="A201" t="s">
        <v>75</v>
      </c>
      <c r="B201" s="2">
        <v>45748</v>
      </c>
      <c r="C201" t="s">
        <v>24</v>
      </c>
      <c r="D201" t="s">
        <v>20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 t="shared" si="9"/>
        <v>0</v>
      </c>
      <c r="P201">
        <f t="shared" si="10"/>
        <v>0</v>
      </c>
      <c r="Q201">
        <f t="shared" si="11"/>
        <v>0</v>
      </c>
    </row>
    <row r="202" spans="1:17">
      <c r="A202" t="s">
        <v>76</v>
      </c>
      <c r="B202" s="2">
        <v>45658</v>
      </c>
      <c r="C202" t="s">
        <v>19</v>
      </c>
      <c r="D202" t="s">
        <v>25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 t="shared" si="9"/>
        <v>1</v>
      </c>
      <c r="P202">
        <f t="shared" si="10"/>
        <v>0</v>
      </c>
      <c r="Q202">
        <f t="shared" si="11"/>
        <v>0</v>
      </c>
    </row>
    <row r="203" spans="1:17">
      <c r="A203" t="s">
        <v>76</v>
      </c>
      <c r="B203" s="2">
        <v>45689</v>
      </c>
      <c r="C203" t="s">
        <v>19</v>
      </c>
      <c r="D203" t="s">
        <v>25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 t="shared" si="9"/>
        <v>1</v>
      </c>
      <c r="P203">
        <f t="shared" si="10"/>
        <v>0</v>
      </c>
      <c r="Q203">
        <f t="shared" si="11"/>
        <v>0</v>
      </c>
    </row>
    <row r="204" spans="1:17">
      <c r="A204" t="s">
        <v>76</v>
      </c>
      <c r="B204" s="2">
        <v>45717</v>
      </c>
      <c r="C204" t="s">
        <v>19</v>
      </c>
      <c r="D204" t="s">
        <v>25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 t="shared" si="9"/>
        <v>1</v>
      </c>
      <c r="P204">
        <f t="shared" si="10"/>
        <v>0</v>
      </c>
      <c r="Q204">
        <f t="shared" si="11"/>
        <v>0</v>
      </c>
    </row>
    <row r="205" spans="1:17">
      <c r="A205" t="s">
        <v>76</v>
      </c>
      <c r="B205" s="2">
        <v>45748</v>
      </c>
      <c r="C205" t="s">
        <v>19</v>
      </c>
      <c r="D205" t="s">
        <v>25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 t="shared" si="9"/>
        <v>1</v>
      </c>
      <c r="P205">
        <f t="shared" si="10"/>
        <v>0</v>
      </c>
      <c r="Q205">
        <f t="shared" si="11"/>
        <v>0</v>
      </c>
    </row>
    <row r="206" spans="1:17">
      <c r="A206" t="s">
        <v>77</v>
      </c>
      <c r="B206" s="2">
        <v>45658</v>
      </c>
      <c r="C206" t="s">
        <v>19</v>
      </c>
      <c r="D206" t="s">
        <v>32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 t="shared" si="9"/>
        <v>0</v>
      </c>
      <c r="P206">
        <f t="shared" si="10"/>
        <v>0</v>
      </c>
      <c r="Q206">
        <f t="shared" si="11"/>
        <v>1</v>
      </c>
    </row>
    <row r="207" spans="1:17">
      <c r="A207" t="s">
        <v>77</v>
      </c>
      <c r="B207" s="2">
        <v>45689</v>
      </c>
      <c r="C207" t="s">
        <v>19</v>
      </c>
      <c r="D207" t="s">
        <v>32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 t="shared" si="9"/>
        <v>0</v>
      </c>
      <c r="P207">
        <f t="shared" si="10"/>
        <v>0</v>
      </c>
      <c r="Q207">
        <f t="shared" si="11"/>
        <v>1</v>
      </c>
    </row>
    <row r="208" spans="1:17">
      <c r="A208" t="s">
        <v>77</v>
      </c>
      <c r="B208" s="2">
        <v>45717</v>
      </c>
      <c r="C208" t="s">
        <v>19</v>
      </c>
      <c r="D208" t="s">
        <v>32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 t="shared" si="9"/>
        <v>0</v>
      </c>
      <c r="P208">
        <f t="shared" si="10"/>
        <v>0</v>
      </c>
      <c r="Q208">
        <f t="shared" si="11"/>
        <v>1</v>
      </c>
    </row>
    <row r="209" spans="1:17">
      <c r="A209" t="s">
        <v>77</v>
      </c>
      <c r="B209" s="2">
        <v>45748</v>
      </c>
      <c r="C209" t="s">
        <v>19</v>
      </c>
      <c r="D209" t="s">
        <v>32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 t="shared" si="9"/>
        <v>0</v>
      </c>
      <c r="P209">
        <f t="shared" si="10"/>
        <v>0</v>
      </c>
      <c r="Q209">
        <f t="shared" si="11"/>
        <v>1</v>
      </c>
    </row>
    <row r="210" spans="1:17">
      <c r="A210" t="s">
        <v>78</v>
      </c>
      <c r="B210" s="2">
        <v>45658</v>
      </c>
      <c r="C210" t="s">
        <v>19</v>
      </c>
      <c r="D210" t="s">
        <v>22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 t="shared" si="9"/>
        <v>0</v>
      </c>
      <c r="P210">
        <f t="shared" si="10"/>
        <v>1</v>
      </c>
      <c r="Q210">
        <f t="shared" si="11"/>
        <v>0</v>
      </c>
    </row>
    <row r="211" spans="1:17">
      <c r="A211" t="s">
        <v>78</v>
      </c>
      <c r="B211" s="2">
        <v>45689</v>
      </c>
      <c r="C211" t="s">
        <v>19</v>
      </c>
      <c r="D211" t="s">
        <v>22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 t="shared" si="9"/>
        <v>0</v>
      </c>
      <c r="P211">
        <f t="shared" si="10"/>
        <v>1</v>
      </c>
      <c r="Q211">
        <f t="shared" si="11"/>
        <v>0</v>
      </c>
    </row>
    <row r="212" spans="1:17">
      <c r="A212" t="s">
        <v>78</v>
      </c>
      <c r="B212" s="2">
        <v>45717</v>
      </c>
      <c r="C212" t="s">
        <v>19</v>
      </c>
      <c r="D212" t="s">
        <v>22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 t="shared" si="9"/>
        <v>0</v>
      </c>
      <c r="P212">
        <f t="shared" si="10"/>
        <v>1</v>
      </c>
      <c r="Q212">
        <f t="shared" si="11"/>
        <v>0</v>
      </c>
    </row>
    <row r="213" spans="1:17">
      <c r="A213" t="s">
        <v>78</v>
      </c>
      <c r="B213" s="2">
        <v>45748</v>
      </c>
      <c r="C213" t="s">
        <v>19</v>
      </c>
      <c r="D213" t="s">
        <v>22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 t="shared" si="9"/>
        <v>0</v>
      </c>
      <c r="P213">
        <f t="shared" si="10"/>
        <v>1</v>
      </c>
      <c r="Q213">
        <f t="shared" si="11"/>
        <v>0</v>
      </c>
    </row>
    <row r="214" spans="1:17">
      <c r="A214" t="s">
        <v>79</v>
      </c>
      <c r="B214" s="2">
        <v>45658</v>
      </c>
      <c r="C214" t="s">
        <v>31</v>
      </c>
      <c r="D214" t="s">
        <v>20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9"/>
        <v>0</v>
      </c>
      <c r="P214">
        <f t="shared" si="10"/>
        <v>0</v>
      </c>
      <c r="Q214">
        <f t="shared" si="11"/>
        <v>0</v>
      </c>
    </row>
    <row r="215" spans="1:17">
      <c r="A215" t="s">
        <v>79</v>
      </c>
      <c r="B215" s="2">
        <v>45689</v>
      </c>
      <c r="C215" t="s">
        <v>31</v>
      </c>
      <c r="D215" t="s">
        <v>20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 t="shared" si="9"/>
        <v>0</v>
      </c>
      <c r="P215">
        <f t="shared" si="10"/>
        <v>0</v>
      </c>
      <c r="Q215">
        <f t="shared" si="11"/>
        <v>0</v>
      </c>
    </row>
    <row r="216" spans="1:17">
      <c r="A216" t="s">
        <v>79</v>
      </c>
      <c r="B216" s="2">
        <v>45717</v>
      </c>
      <c r="C216" t="s">
        <v>31</v>
      </c>
      <c r="D216" t="s">
        <v>20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 t="shared" si="9"/>
        <v>0</v>
      </c>
      <c r="P216">
        <f t="shared" si="10"/>
        <v>0</v>
      </c>
      <c r="Q216">
        <f t="shared" si="11"/>
        <v>0</v>
      </c>
    </row>
    <row r="217" spans="1:17">
      <c r="A217" t="s">
        <v>79</v>
      </c>
      <c r="B217" s="2">
        <v>45748</v>
      </c>
      <c r="C217" t="s">
        <v>31</v>
      </c>
      <c r="D217" t="s">
        <v>20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 t="shared" si="9"/>
        <v>0</v>
      </c>
      <c r="P217">
        <f t="shared" si="10"/>
        <v>0</v>
      </c>
      <c r="Q217">
        <f t="shared" si="11"/>
        <v>0</v>
      </c>
    </row>
    <row r="218" spans="1:17">
      <c r="A218" t="s">
        <v>80</v>
      </c>
      <c r="B218" s="2">
        <v>45658</v>
      </c>
      <c r="C218" t="s">
        <v>24</v>
      </c>
      <c r="D218" t="s">
        <v>25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 t="shared" si="9"/>
        <v>1</v>
      </c>
      <c r="P218">
        <f t="shared" si="10"/>
        <v>0</v>
      </c>
      <c r="Q218">
        <f t="shared" si="11"/>
        <v>0</v>
      </c>
    </row>
    <row r="219" spans="1:17">
      <c r="A219" t="s">
        <v>80</v>
      </c>
      <c r="B219" s="2">
        <v>45689</v>
      </c>
      <c r="C219" t="s">
        <v>24</v>
      </c>
      <c r="D219" t="s">
        <v>25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 t="shared" si="9"/>
        <v>1</v>
      </c>
      <c r="P219">
        <f t="shared" si="10"/>
        <v>0</v>
      </c>
      <c r="Q219">
        <f t="shared" si="11"/>
        <v>0</v>
      </c>
    </row>
    <row r="220" spans="1:17">
      <c r="A220" t="s">
        <v>80</v>
      </c>
      <c r="B220" s="2">
        <v>45717</v>
      </c>
      <c r="C220" t="s">
        <v>24</v>
      </c>
      <c r="D220" t="s">
        <v>25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 t="shared" si="9"/>
        <v>1</v>
      </c>
      <c r="P220">
        <f t="shared" si="10"/>
        <v>0</v>
      </c>
      <c r="Q220">
        <f t="shared" si="11"/>
        <v>0</v>
      </c>
    </row>
    <row r="221" spans="1:17">
      <c r="A221" t="s">
        <v>80</v>
      </c>
      <c r="B221" s="2">
        <v>45748</v>
      </c>
      <c r="C221" t="s">
        <v>24</v>
      </c>
      <c r="D221" t="s">
        <v>25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 t="shared" si="9"/>
        <v>1</v>
      </c>
      <c r="P221">
        <f t="shared" si="10"/>
        <v>0</v>
      </c>
      <c r="Q221">
        <f t="shared" si="11"/>
        <v>0</v>
      </c>
    </row>
    <row r="222" spans="1:17">
      <c r="A222" t="s">
        <v>81</v>
      </c>
      <c r="B222" s="2">
        <v>45658</v>
      </c>
      <c r="C222" t="s">
        <v>19</v>
      </c>
      <c r="D222" t="s">
        <v>22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 t="shared" si="9"/>
        <v>0</v>
      </c>
      <c r="P222">
        <f t="shared" si="10"/>
        <v>1</v>
      </c>
      <c r="Q222">
        <f t="shared" si="11"/>
        <v>0</v>
      </c>
    </row>
    <row r="223" spans="1:17">
      <c r="A223" t="s">
        <v>81</v>
      </c>
      <c r="B223" s="2">
        <v>45689</v>
      </c>
      <c r="C223" t="s">
        <v>19</v>
      </c>
      <c r="D223" t="s">
        <v>22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 t="shared" si="9"/>
        <v>0</v>
      </c>
      <c r="P223">
        <f t="shared" si="10"/>
        <v>1</v>
      </c>
      <c r="Q223">
        <f t="shared" si="11"/>
        <v>0</v>
      </c>
    </row>
    <row r="224" spans="1:17">
      <c r="A224" t="s">
        <v>81</v>
      </c>
      <c r="B224" s="2">
        <v>45717</v>
      </c>
      <c r="C224" t="s">
        <v>19</v>
      </c>
      <c r="D224" t="s">
        <v>22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 t="shared" si="9"/>
        <v>0</v>
      </c>
      <c r="P224">
        <f t="shared" si="10"/>
        <v>1</v>
      </c>
      <c r="Q224">
        <f t="shared" si="11"/>
        <v>0</v>
      </c>
    </row>
    <row r="225" spans="1:17">
      <c r="A225" t="s">
        <v>81</v>
      </c>
      <c r="B225" s="2">
        <v>45748</v>
      </c>
      <c r="C225" t="s">
        <v>19</v>
      </c>
      <c r="D225" t="s">
        <v>22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 t="shared" si="9"/>
        <v>0</v>
      </c>
      <c r="P225">
        <f t="shared" si="10"/>
        <v>1</v>
      </c>
      <c r="Q225">
        <f t="shared" si="11"/>
        <v>0</v>
      </c>
    </row>
    <row r="226" spans="1:17">
      <c r="A226" t="s">
        <v>82</v>
      </c>
      <c r="B226" s="2">
        <v>45658</v>
      </c>
      <c r="C226" t="s">
        <v>19</v>
      </c>
      <c r="D226" t="s">
        <v>32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 t="shared" si="9"/>
        <v>0</v>
      </c>
      <c r="P226">
        <f t="shared" si="10"/>
        <v>0</v>
      </c>
      <c r="Q226">
        <f t="shared" si="11"/>
        <v>1</v>
      </c>
    </row>
    <row r="227" spans="1:17">
      <c r="A227" t="s">
        <v>82</v>
      </c>
      <c r="B227" s="2">
        <v>45689</v>
      </c>
      <c r="C227" t="s">
        <v>19</v>
      </c>
      <c r="D227" t="s">
        <v>32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 t="shared" si="9"/>
        <v>0</v>
      </c>
      <c r="P227">
        <f t="shared" si="10"/>
        <v>0</v>
      </c>
      <c r="Q227">
        <f t="shared" si="11"/>
        <v>1</v>
      </c>
    </row>
    <row r="228" spans="1:17">
      <c r="A228" t="s">
        <v>82</v>
      </c>
      <c r="B228" s="2">
        <v>45717</v>
      </c>
      <c r="C228" t="s">
        <v>19</v>
      </c>
      <c r="D228" t="s">
        <v>32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 t="shared" si="9"/>
        <v>0</v>
      </c>
      <c r="P228">
        <f t="shared" si="10"/>
        <v>0</v>
      </c>
      <c r="Q228">
        <f t="shared" si="11"/>
        <v>1</v>
      </c>
    </row>
    <row r="229" spans="1:17">
      <c r="A229" t="s">
        <v>82</v>
      </c>
      <c r="B229" s="2">
        <v>45748</v>
      </c>
      <c r="C229" t="s">
        <v>19</v>
      </c>
      <c r="D229" t="s">
        <v>32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  <c r="O229">
        <f t="shared" si="9"/>
        <v>0</v>
      </c>
      <c r="P229">
        <f t="shared" si="10"/>
        <v>0</v>
      </c>
      <c r="Q229">
        <f t="shared" si="11"/>
        <v>1</v>
      </c>
    </row>
    <row r="230" spans="1:17">
      <c r="A230" t="s">
        <v>83</v>
      </c>
      <c r="B230" s="2">
        <v>45658</v>
      </c>
      <c r="C230" t="s">
        <v>19</v>
      </c>
      <c r="D230" t="s">
        <v>22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 t="shared" si="9"/>
        <v>0</v>
      </c>
      <c r="P230">
        <f t="shared" si="10"/>
        <v>1</v>
      </c>
      <c r="Q230">
        <f t="shared" si="11"/>
        <v>0</v>
      </c>
    </row>
    <row r="231" spans="1:17">
      <c r="A231" t="s">
        <v>83</v>
      </c>
      <c r="B231" s="2">
        <v>45689</v>
      </c>
      <c r="C231" t="s">
        <v>19</v>
      </c>
      <c r="D231" t="s">
        <v>22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 t="shared" si="9"/>
        <v>0</v>
      </c>
      <c r="P231">
        <f t="shared" si="10"/>
        <v>1</v>
      </c>
      <c r="Q231">
        <f t="shared" si="11"/>
        <v>0</v>
      </c>
    </row>
    <row r="232" spans="1:17">
      <c r="A232" t="s">
        <v>83</v>
      </c>
      <c r="B232" s="2">
        <v>45717</v>
      </c>
      <c r="C232" t="s">
        <v>19</v>
      </c>
      <c r="D232" t="s">
        <v>22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 t="shared" si="9"/>
        <v>0</v>
      </c>
      <c r="P232">
        <f t="shared" si="10"/>
        <v>1</v>
      </c>
      <c r="Q232">
        <f t="shared" si="11"/>
        <v>0</v>
      </c>
    </row>
    <row r="233" spans="1:17">
      <c r="A233" t="s">
        <v>83</v>
      </c>
      <c r="B233" s="2">
        <v>45748</v>
      </c>
      <c r="C233" t="s">
        <v>19</v>
      </c>
      <c r="D233" t="s">
        <v>22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  <c r="O233">
        <f t="shared" si="9"/>
        <v>0</v>
      </c>
      <c r="P233">
        <f t="shared" si="10"/>
        <v>1</v>
      </c>
      <c r="Q233">
        <f t="shared" si="11"/>
        <v>0</v>
      </c>
    </row>
    <row r="234" spans="1:17">
      <c r="A234" t="s">
        <v>84</v>
      </c>
      <c r="B234" s="2">
        <v>45658</v>
      </c>
      <c r="C234" t="s">
        <v>31</v>
      </c>
      <c r="D234" t="s">
        <v>20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 t="shared" si="9"/>
        <v>0</v>
      </c>
      <c r="P234">
        <f t="shared" si="10"/>
        <v>0</v>
      </c>
      <c r="Q234">
        <f t="shared" si="11"/>
        <v>0</v>
      </c>
    </row>
    <row r="235" spans="1:17">
      <c r="A235" t="s">
        <v>84</v>
      </c>
      <c r="B235" s="2">
        <v>45689</v>
      </c>
      <c r="C235" t="s">
        <v>31</v>
      </c>
      <c r="D235" t="s">
        <v>20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 t="shared" si="9"/>
        <v>0</v>
      </c>
      <c r="P235">
        <f t="shared" si="10"/>
        <v>0</v>
      </c>
      <c r="Q235">
        <f t="shared" si="11"/>
        <v>0</v>
      </c>
    </row>
    <row r="236" spans="1:17">
      <c r="A236" t="s">
        <v>84</v>
      </c>
      <c r="B236" s="2">
        <v>45717</v>
      </c>
      <c r="C236" t="s">
        <v>31</v>
      </c>
      <c r="D236" t="s">
        <v>20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 t="shared" si="9"/>
        <v>0</v>
      </c>
      <c r="P236">
        <f t="shared" si="10"/>
        <v>0</v>
      </c>
      <c r="Q236">
        <f t="shared" si="11"/>
        <v>0</v>
      </c>
    </row>
    <row r="237" spans="1:17">
      <c r="A237" t="s">
        <v>84</v>
      </c>
      <c r="B237" s="2">
        <v>45748</v>
      </c>
      <c r="C237" t="s">
        <v>31</v>
      </c>
      <c r="D237" t="s">
        <v>20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 t="shared" si="9"/>
        <v>0</v>
      </c>
      <c r="P237">
        <f t="shared" si="10"/>
        <v>0</v>
      </c>
      <c r="Q237">
        <f t="shared" si="11"/>
        <v>0</v>
      </c>
    </row>
    <row r="238" spans="1:17">
      <c r="A238" t="s">
        <v>85</v>
      </c>
      <c r="B238" s="2">
        <v>45658</v>
      </c>
      <c r="C238" t="s">
        <v>31</v>
      </c>
      <c r="D238" t="s">
        <v>32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 t="shared" si="9"/>
        <v>0</v>
      </c>
      <c r="P238">
        <f t="shared" si="10"/>
        <v>0</v>
      </c>
      <c r="Q238">
        <f t="shared" si="11"/>
        <v>1</v>
      </c>
    </row>
    <row r="239" spans="1:17">
      <c r="A239" t="s">
        <v>85</v>
      </c>
      <c r="B239" s="2">
        <v>45689</v>
      </c>
      <c r="C239" t="s">
        <v>31</v>
      </c>
      <c r="D239" t="s">
        <v>32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 t="shared" si="9"/>
        <v>0</v>
      </c>
      <c r="P239">
        <f t="shared" si="10"/>
        <v>0</v>
      </c>
      <c r="Q239">
        <f t="shared" si="11"/>
        <v>1</v>
      </c>
    </row>
    <row r="240" spans="1:17">
      <c r="A240" t="s">
        <v>85</v>
      </c>
      <c r="B240" s="2">
        <v>45717</v>
      </c>
      <c r="C240" t="s">
        <v>31</v>
      </c>
      <c r="D240" t="s">
        <v>32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 t="shared" si="9"/>
        <v>0</v>
      </c>
      <c r="P240">
        <f t="shared" si="10"/>
        <v>0</v>
      </c>
      <c r="Q240">
        <f t="shared" si="11"/>
        <v>1</v>
      </c>
    </row>
    <row r="241" spans="1:17">
      <c r="A241" t="s">
        <v>85</v>
      </c>
      <c r="B241" s="2">
        <v>45748</v>
      </c>
      <c r="C241" t="s">
        <v>31</v>
      </c>
      <c r="D241" t="s">
        <v>32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 t="shared" si="9"/>
        <v>0</v>
      </c>
      <c r="P241">
        <f t="shared" si="10"/>
        <v>0</v>
      </c>
      <c r="Q241">
        <f t="shared" si="11"/>
        <v>1</v>
      </c>
    </row>
    <row r="242" spans="1:17">
      <c r="A242" t="s">
        <v>86</v>
      </c>
      <c r="B242" s="2">
        <v>45658</v>
      </c>
      <c r="C242" t="s">
        <v>28</v>
      </c>
      <c r="D242" t="s">
        <v>25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 t="shared" si="9"/>
        <v>1</v>
      </c>
      <c r="P242">
        <f t="shared" si="10"/>
        <v>0</v>
      </c>
      <c r="Q242">
        <f t="shared" si="11"/>
        <v>0</v>
      </c>
    </row>
    <row r="243" spans="1:17">
      <c r="A243" t="s">
        <v>86</v>
      </c>
      <c r="B243" s="2">
        <v>45689</v>
      </c>
      <c r="C243" t="s">
        <v>28</v>
      </c>
      <c r="D243" t="s">
        <v>25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 t="shared" si="9"/>
        <v>1</v>
      </c>
      <c r="P243">
        <f t="shared" si="10"/>
        <v>0</v>
      </c>
      <c r="Q243">
        <f t="shared" si="11"/>
        <v>0</v>
      </c>
    </row>
    <row r="244" spans="1:17">
      <c r="A244" t="s">
        <v>86</v>
      </c>
      <c r="B244" s="2">
        <v>45717</v>
      </c>
      <c r="C244" t="s">
        <v>28</v>
      </c>
      <c r="D244" t="s">
        <v>25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 t="shared" si="9"/>
        <v>1</v>
      </c>
      <c r="P244">
        <f t="shared" si="10"/>
        <v>0</v>
      </c>
      <c r="Q244">
        <f t="shared" si="11"/>
        <v>0</v>
      </c>
    </row>
    <row r="245" spans="1:17">
      <c r="A245" t="s">
        <v>86</v>
      </c>
      <c r="B245" s="2">
        <v>45748</v>
      </c>
      <c r="C245" t="s">
        <v>28</v>
      </c>
      <c r="D245" t="s">
        <v>25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 t="shared" si="9"/>
        <v>1</v>
      </c>
      <c r="P245">
        <f t="shared" si="10"/>
        <v>0</v>
      </c>
      <c r="Q245">
        <f t="shared" si="11"/>
        <v>0</v>
      </c>
    </row>
    <row r="246" spans="1:17">
      <c r="A246" t="s">
        <v>87</v>
      </c>
      <c r="B246" s="2">
        <v>45658</v>
      </c>
      <c r="C246" t="s">
        <v>19</v>
      </c>
      <c r="D246" t="s">
        <v>22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 t="shared" si="9"/>
        <v>0</v>
      </c>
      <c r="P246">
        <f t="shared" si="10"/>
        <v>1</v>
      </c>
      <c r="Q246">
        <f t="shared" si="11"/>
        <v>0</v>
      </c>
    </row>
    <row r="247" spans="1:17">
      <c r="A247" t="s">
        <v>87</v>
      </c>
      <c r="B247" s="2">
        <v>45689</v>
      </c>
      <c r="C247" t="s">
        <v>19</v>
      </c>
      <c r="D247" t="s">
        <v>22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 t="shared" si="9"/>
        <v>0</v>
      </c>
      <c r="P247">
        <f t="shared" si="10"/>
        <v>1</v>
      </c>
      <c r="Q247">
        <f t="shared" si="11"/>
        <v>0</v>
      </c>
    </row>
    <row r="248" spans="1:17">
      <c r="A248" t="s">
        <v>87</v>
      </c>
      <c r="B248" s="2">
        <v>45717</v>
      </c>
      <c r="C248" t="s">
        <v>19</v>
      </c>
      <c r="D248" t="s">
        <v>22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 t="shared" si="9"/>
        <v>0</v>
      </c>
      <c r="P248">
        <f t="shared" si="10"/>
        <v>1</v>
      </c>
      <c r="Q248">
        <f t="shared" si="11"/>
        <v>0</v>
      </c>
    </row>
    <row r="249" spans="1:17">
      <c r="A249" t="s">
        <v>87</v>
      </c>
      <c r="B249" s="2">
        <v>45748</v>
      </c>
      <c r="C249" t="s">
        <v>19</v>
      </c>
      <c r="D249" t="s">
        <v>22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 t="shared" si="9"/>
        <v>0</v>
      </c>
      <c r="P249">
        <f t="shared" si="10"/>
        <v>1</v>
      </c>
      <c r="Q249">
        <f t="shared" si="11"/>
        <v>0</v>
      </c>
    </row>
    <row r="250" spans="1:17">
      <c r="A250" t="s">
        <v>88</v>
      </c>
      <c r="B250" s="2">
        <v>45658</v>
      </c>
      <c r="C250" t="s">
        <v>24</v>
      </c>
      <c r="D250" t="s">
        <v>22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  <c r="O250">
        <f t="shared" si="9"/>
        <v>0</v>
      </c>
      <c r="P250">
        <f t="shared" si="10"/>
        <v>1</v>
      </c>
      <c r="Q250">
        <f t="shared" si="11"/>
        <v>0</v>
      </c>
    </row>
    <row r="251" spans="1:17">
      <c r="A251" t="s">
        <v>88</v>
      </c>
      <c r="B251" s="2">
        <v>45689</v>
      </c>
      <c r="C251" t="s">
        <v>24</v>
      </c>
      <c r="D251" t="s">
        <v>22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 t="shared" si="9"/>
        <v>0</v>
      </c>
      <c r="P251">
        <f t="shared" si="10"/>
        <v>1</v>
      </c>
      <c r="Q251">
        <f t="shared" si="11"/>
        <v>0</v>
      </c>
    </row>
    <row r="252" spans="1:17">
      <c r="A252" t="s">
        <v>88</v>
      </c>
      <c r="B252" s="2">
        <v>45717</v>
      </c>
      <c r="C252" t="s">
        <v>24</v>
      </c>
      <c r="D252" t="s">
        <v>22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 t="shared" si="9"/>
        <v>0</v>
      </c>
      <c r="P252">
        <f t="shared" si="10"/>
        <v>1</v>
      </c>
      <c r="Q252">
        <f t="shared" si="11"/>
        <v>0</v>
      </c>
    </row>
    <row r="253" spans="1:17">
      <c r="A253" t="s">
        <v>88</v>
      </c>
      <c r="B253" s="2">
        <v>45748</v>
      </c>
      <c r="C253" t="s">
        <v>24</v>
      </c>
      <c r="D253" t="s">
        <v>22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 t="shared" si="9"/>
        <v>0</v>
      </c>
      <c r="P253">
        <f t="shared" si="10"/>
        <v>1</v>
      </c>
      <c r="Q253">
        <f t="shared" si="11"/>
        <v>0</v>
      </c>
    </row>
    <row r="254" spans="1:17">
      <c r="A254" t="s">
        <v>89</v>
      </c>
      <c r="B254" s="2">
        <v>45658</v>
      </c>
      <c r="C254" t="s">
        <v>28</v>
      </c>
      <c r="D254" t="s">
        <v>25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 t="shared" si="9"/>
        <v>1</v>
      </c>
      <c r="P254">
        <f t="shared" si="10"/>
        <v>0</v>
      </c>
      <c r="Q254">
        <f t="shared" si="11"/>
        <v>0</v>
      </c>
    </row>
    <row r="255" spans="1:17">
      <c r="A255" t="s">
        <v>89</v>
      </c>
      <c r="B255" s="2">
        <v>45689</v>
      </c>
      <c r="C255" t="s">
        <v>28</v>
      </c>
      <c r="D255" t="s">
        <v>25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 t="shared" si="9"/>
        <v>1</v>
      </c>
      <c r="P255">
        <f t="shared" si="10"/>
        <v>0</v>
      </c>
      <c r="Q255">
        <f t="shared" si="11"/>
        <v>0</v>
      </c>
    </row>
    <row r="256" spans="1:17">
      <c r="A256" t="s">
        <v>89</v>
      </c>
      <c r="B256" s="2">
        <v>45717</v>
      </c>
      <c r="C256" t="s">
        <v>28</v>
      </c>
      <c r="D256" t="s">
        <v>25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 t="shared" si="9"/>
        <v>1</v>
      </c>
      <c r="P256">
        <f t="shared" si="10"/>
        <v>0</v>
      </c>
      <c r="Q256">
        <f t="shared" si="11"/>
        <v>0</v>
      </c>
    </row>
    <row r="257" spans="1:17">
      <c r="A257" t="s">
        <v>89</v>
      </c>
      <c r="B257" s="2">
        <v>45748</v>
      </c>
      <c r="C257" t="s">
        <v>28</v>
      </c>
      <c r="D257" t="s">
        <v>25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 t="shared" si="9"/>
        <v>1</v>
      </c>
      <c r="P257">
        <f t="shared" si="10"/>
        <v>0</v>
      </c>
      <c r="Q257">
        <f t="shared" si="11"/>
        <v>0</v>
      </c>
    </row>
    <row r="258" spans="1:17">
      <c r="A258" t="s">
        <v>90</v>
      </c>
      <c r="B258" s="2">
        <v>45658</v>
      </c>
      <c r="C258" t="s">
        <v>28</v>
      </c>
      <c r="D258" t="s">
        <v>32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 t="shared" si="9"/>
        <v>0</v>
      </c>
      <c r="P258">
        <f t="shared" si="10"/>
        <v>0</v>
      </c>
      <c r="Q258">
        <f t="shared" si="11"/>
        <v>1</v>
      </c>
    </row>
    <row r="259" spans="1:17">
      <c r="A259" t="s">
        <v>90</v>
      </c>
      <c r="B259" s="2">
        <v>45689</v>
      </c>
      <c r="C259" t="s">
        <v>28</v>
      </c>
      <c r="D259" t="s">
        <v>32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 t="shared" ref="O259:O321" si="12">IF(D259="Airport",1,0)</f>
        <v>0</v>
      </c>
      <c r="P259">
        <f t="shared" ref="P259:P321" si="13">IF(D259="High Street",1,0)</f>
        <v>0</v>
      </c>
      <c r="Q259">
        <f t="shared" ref="Q259:Q321" si="14">IF(D259="Mall",1,0)</f>
        <v>1</v>
      </c>
    </row>
    <row r="260" spans="1:17">
      <c r="A260" t="s">
        <v>90</v>
      </c>
      <c r="B260" s="2">
        <v>45717</v>
      </c>
      <c r="C260" t="s">
        <v>28</v>
      </c>
      <c r="D260" t="s">
        <v>32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 t="shared" si="12"/>
        <v>0</v>
      </c>
      <c r="P260">
        <f t="shared" si="13"/>
        <v>0</v>
      </c>
      <c r="Q260">
        <f t="shared" si="14"/>
        <v>1</v>
      </c>
    </row>
    <row r="261" spans="1:17">
      <c r="A261" t="s">
        <v>90</v>
      </c>
      <c r="B261" s="2">
        <v>45748</v>
      </c>
      <c r="C261" t="s">
        <v>28</v>
      </c>
      <c r="D261" t="s">
        <v>32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 t="shared" si="12"/>
        <v>0</v>
      </c>
      <c r="P261">
        <f t="shared" si="13"/>
        <v>0</v>
      </c>
      <c r="Q261">
        <f t="shared" si="14"/>
        <v>1</v>
      </c>
    </row>
    <row r="262" spans="1:17">
      <c r="A262" t="s">
        <v>91</v>
      </c>
      <c r="B262" s="2">
        <v>45658</v>
      </c>
      <c r="C262" t="s">
        <v>31</v>
      </c>
      <c r="D262" t="s">
        <v>22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 t="shared" si="12"/>
        <v>0</v>
      </c>
      <c r="P262">
        <f t="shared" si="13"/>
        <v>1</v>
      </c>
      <c r="Q262">
        <f t="shared" si="14"/>
        <v>0</v>
      </c>
    </row>
    <row r="263" spans="1:17">
      <c r="A263" t="s">
        <v>91</v>
      </c>
      <c r="B263" s="2">
        <v>45689</v>
      </c>
      <c r="C263" t="s">
        <v>31</v>
      </c>
      <c r="D263" t="s">
        <v>22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  <c r="O263">
        <f t="shared" si="12"/>
        <v>0</v>
      </c>
      <c r="P263">
        <f t="shared" si="13"/>
        <v>1</v>
      </c>
      <c r="Q263">
        <f t="shared" si="14"/>
        <v>0</v>
      </c>
    </row>
    <row r="264" spans="1:17">
      <c r="A264" t="s">
        <v>91</v>
      </c>
      <c r="B264" s="2">
        <v>45717</v>
      </c>
      <c r="C264" t="s">
        <v>31</v>
      </c>
      <c r="D264" t="s">
        <v>22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 t="shared" si="12"/>
        <v>0</v>
      </c>
      <c r="P264">
        <f t="shared" si="13"/>
        <v>1</v>
      </c>
      <c r="Q264">
        <f t="shared" si="14"/>
        <v>0</v>
      </c>
    </row>
    <row r="265" spans="1:17">
      <c r="A265" t="s">
        <v>91</v>
      </c>
      <c r="B265" s="2">
        <v>45748</v>
      </c>
      <c r="C265" t="s">
        <v>31</v>
      </c>
      <c r="D265" t="s">
        <v>22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 t="shared" si="12"/>
        <v>0</v>
      </c>
      <c r="P265">
        <f t="shared" si="13"/>
        <v>1</v>
      </c>
      <c r="Q265">
        <f t="shared" si="14"/>
        <v>0</v>
      </c>
    </row>
    <row r="266" spans="1:17">
      <c r="A266" t="s">
        <v>92</v>
      </c>
      <c r="B266" s="2">
        <v>45658</v>
      </c>
      <c r="C266" t="s">
        <v>19</v>
      </c>
      <c r="D266" t="s">
        <v>22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 t="shared" si="12"/>
        <v>0</v>
      </c>
      <c r="P266">
        <f t="shared" si="13"/>
        <v>1</v>
      </c>
      <c r="Q266">
        <f t="shared" si="14"/>
        <v>0</v>
      </c>
    </row>
    <row r="267" spans="1:17">
      <c r="A267" t="s">
        <v>92</v>
      </c>
      <c r="B267" s="2">
        <v>45689</v>
      </c>
      <c r="C267" t="s">
        <v>19</v>
      </c>
      <c r="D267" t="s">
        <v>22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 t="shared" si="12"/>
        <v>0</v>
      </c>
      <c r="P267">
        <f t="shared" si="13"/>
        <v>1</v>
      </c>
      <c r="Q267">
        <f t="shared" si="14"/>
        <v>0</v>
      </c>
    </row>
    <row r="268" spans="1:17">
      <c r="A268" t="s">
        <v>92</v>
      </c>
      <c r="B268" s="2">
        <v>45717</v>
      </c>
      <c r="C268" t="s">
        <v>19</v>
      </c>
      <c r="D268" t="s">
        <v>22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 t="shared" si="12"/>
        <v>0</v>
      </c>
      <c r="P268">
        <f t="shared" si="13"/>
        <v>1</v>
      </c>
      <c r="Q268">
        <f t="shared" si="14"/>
        <v>0</v>
      </c>
    </row>
    <row r="269" spans="1:17">
      <c r="A269" t="s">
        <v>92</v>
      </c>
      <c r="B269" s="2">
        <v>45748</v>
      </c>
      <c r="C269" t="s">
        <v>19</v>
      </c>
      <c r="D269" t="s">
        <v>22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 t="shared" si="12"/>
        <v>0</v>
      </c>
      <c r="P269">
        <f t="shared" si="13"/>
        <v>1</v>
      </c>
      <c r="Q269">
        <f t="shared" si="14"/>
        <v>0</v>
      </c>
    </row>
    <row r="270" spans="1:17">
      <c r="A270" t="s">
        <v>93</v>
      </c>
      <c r="B270" s="2">
        <v>45658</v>
      </c>
      <c r="C270" t="s">
        <v>19</v>
      </c>
      <c r="D270" t="s">
        <v>32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 t="shared" si="12"/>
        <v>0</v>
      </c>
      <c r="P270">
        <f t="shared" si="13"/>
        <v>0</v>
      </c>
      <c r="Q270">
        <f t="shared" si="14"/>
        <v>1</v>
      </c>
    </row>
    <row r="271" spans="1:17">
      <c r="A271" t="s">
        <v>93</v>
      </c>
      <c r="B271" s="2">
        <v>45689</v>
      </c>
      <c r="C271" t="s">
        <v>19</v>
      </c>
      <c r="D271" t="s">
        <v>32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 t="shared" si="12"/>
        <v>0</v>
      </c>
      <c r="P271">
        <f t="shared" si="13"/>
        <v>0</v>
      </c>
      <c r="Q271">
        <f t="shared" si="14"/>
        <v>1</v>
      </c>
    </row>
    <row r="272" spans="1:17">
      <c r="A272" t="s">
        <v>93</v>
      </c>
      <c r="B272" s="2">
        <v>45717</v>
      </c>
      <c r="C272" t="s">
        <v>19</v>
      </c>
      <c r="D272" t="s">
        <v>32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 t="shared" si="12"/>
        <v>0</v>
      </c>
      <c r="P272">
        <f t="shared" si="13"/>
        <v>0</v>
      </c>
      <c r="Q272">
        <f t="shared" si="14"/>
        <v>1</v>
      </c>
    </row>
    <row r="273" spans="1:17">
      <c r="A273" t="s">
        <v>93</v>
      </c>
      <c r="B273" s="2">
        <v>45748</v>
      </c>
      <c r="C273" t="s">
        <v>19</v>
      </c>
      <c r="D273" t="s">
        <v>32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 t="shared" si="12"/>
        <v>0</v>
      </c>
      <c r="P273">
        <f t="shared" si="13"/>
        <v>0</v>
      </c>
      <c r="Q273">
        <f t="shared" si="14"/>
        <v>1</v>
      </c>
    </row>
    <row r="274" spans="1:17">
      <c r="A274" t="s">
        <v>94</v>
      </c>
      <c r="B274" s="2">
        <v>45658</v>
      </c>
      <c r="C274" t="s">
        <v>31</v>
      </c>
      <c r="D274" t="s">
        <v>22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 t="shared" si="12"/>
        <v>0</v>
      </c>
      <c r="P274">
        <f t="shared" si="13"/>
        <v>1</v>
      </c>
      <c r="Q274">
        <f t="shared" si="14"/>
        <v>0</v>
      </c>
    </row>
    <row r="275" spans="1:17">
      <c r="A275" t="s">
        <v>94</v>
      </c>
      <c r="B275" s="2">
        <v>45689</v>
      </c>
      <c r="C275" t="s">
        <v>31</v>
      </c>
      <c r="D275" t="s">
        <v>22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 t="shared" si="12"/>
        <v>0</v>
      </c>
      <c r="P275">
        <f t="shared" si="13"/>
        <v>1</v>
      </c>
      <c r="Q275">
        <f t="shared" si="14"/>
        <v>0</v>
      </c>
    </row>
    <row r="276" spans="1:17">
      <c r="A276" t="s">
        <v>94</v>
      </c>
      <c r="B276" s="2">
        <v>45717</v>
      </c>
      <c r="C276" t="s">
        <v>31</v>
      </c>
      <c r="D276" t="s">
        <v>22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 t="shared" si="12"/>
        <v>0</v>
      </c>
      <c r="P276">
        <f t="shared" si="13"/>
        <v>1</v>
      </c>
      <c r="Q276">
        <f t="shared" si="14"/>
        <v>0</v>
      </c>
    </row>
    <row r="277" spans="1:17">
      <c r="A277" t="s">
        <v>94</v>
      </c>
      <c r="B277" s="2">
        <v>45748</v>
      </c>
      <c r="C277" t="s">
        <v>31</v>
      </c>
      <c r="D277" t="s">
        <v>22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 t="shared" si="12"/>
        <v>0</v>
      </c>
      <c r="P277">
        <f t="shared" si="13"/>
        <v>1</v>
      </c>
      <c r="Q277">
        <f t="shared" si="14"/>
        <v>0</v>
      </c>
    </row>
    <row r="278" spans="1:17">
      <c r="A278" t="s">
        <v>95</v>
      </c>
      <c r="B278" s="2">
        <v>45658</v>
      </c>
      <c r="C278" t="s">
        <v>28</v>
      </c>
      <c r="D278" t="s">
        <v>20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 t="shared" si="12"/>
        <v>0</v>
      </c>
      <c r="P278">
        <f t="shared" si="13"/>
        <v>0</v>
      </c>
      <c r="Q278">
        <f t="shared" si="14"/>
        <v>0</v>
      </c>
    </row>
    <row r="279" spans="1:17">
      <c r="A279" t="s">
        <v>95</v>
      </c>
      <c r="B279" s="2">
        <v>45689</v>
      </c>
      <c r="C279" t="s">
        <v>28</v>
      </c>
      <c r="D279" t="s">
        <v>20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 t="shared" si="12"/>
        <v>0</v>
      </c>
      <c r="P279">
        <f t="shared" si="13"/>
        <v>0</v>
      </c>
      <c r="Q279">
        <f t="shared" si="14"/>
        <v>0</v>
      </c>
    </row>
    <row r="280" spans="1:17">
      <c r="A280" t="s">
        <v>95</v>
      </c>
      <c r="B280" s="2">
        <v>45717</v>
      </c>
      <c r="C280" t="s">
        <v>28</v>
      </c>
      <c r="D280" t="s">
        <v>20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 t="shared" si="12"/>
        <v>0</v>
      </c>
      <c r="P280">
        <f t="shared" si="13"/>
        <v>0</v>
      </c>
      <c r="Q280">
        <f t="shared" si="14"/>
        <v>0</v>
      </c>
    </row>
    <row r="281" spans="1:17">
      <c r="A281" t="s">
        <v>95</v>
      </c>
      <c r="B281" s="2">
        <v>45748</v>
      </c>
      <c r="C281" t="s">
        <v>28</v>
      </c>
      <c r="D281" t="s">
        <v>20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 t="shared" si="12"/>
        <v>0</v>
      </c>
      <c r="P281">
        <f t="shared" si="13"/>
        <v>0</v>
      </c>
      <c r="Q281">
        <f t="shared" si="14"/>
        <v>0</v>
      </c>
    </row>
    <row r="282" spans="1:17">
      <c r="A282" t="s">
        <v>96</v>
      </c>
      <c r="B282" s="2">
        <v>45658</v>
      </c>
      <c r="C282" t="s">
        <v>28</v>
      </c>
      <c r="D282" t="s">
        <v>22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 t="shared" si="12"/>
        <v>0</v>
      </c>
      <c r="P282">
        <f t="shared" si="13"/>
        <v>1</v>
      </c>
      <c r="Q282">
        <f t="shared" si="14"/>
        <v>0</v>
      </c>
    </row>
    <row r="283" spans="1:17">
      <c r="A283" t="s">
        <v>96</v>
      </c>
      <c r="B283" s="2">
        <v>45689</v>
      </c>
      <c r="C283" t="s">
        <v>28</v>
      </c>
      <c r="D283" t="s">
        <v>22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 t="shared" si="12"/>
        <v>0</v>
      </c>
      <c r="P283">
        <f t="shared" si="13"/>
        <v>1</v>
      </c>
      <c r="Q283">
        <f t="shared" si="14"/>
        <v>0</v>
      </c>
    </row>
    <row r="284" spans="1:17">
      <c r="A284" t="s">
        <v>96</v>
      </c>
      <c r="B284" s="2">
        <v>45717</v>
      </c>
      <c r="C284" t="s">
        <v>28</v>
      </c>
      <c r="D284" t="s">
        <v>22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 t="shared" si="12"/>
        <v>0</v>
      </c>
      <c r="P284">
        <f t="shared" si="13"/>
        <v>1</v>
      </c>
      <c r="Q284">
        <f t="shared" si="14"/>
        <v>0</v>
      </c>
    </row>
    <row r="285" spans="1:17">
      <c r="A285" t="s">
        <v>96</v>
      </c>
      <c r="B285" s="2">
        <v>45748</v>
      </c>
      <c r="C285" t="s">
        <v>28</v>
      </c>
      <c r="D285" t="s">
        <v>22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 t="shared" si="12"/>
        <v>0</v>
      </c>
      <c r="P285">
        <f t="shared" si="13"/>
        <v>1</v>
      </c>
      <c r="Q285">
        <f t="shared" si="14"/>
        <v>0</v>
      </c>
    </row>
    <row r="286" spans="1:17">
      <c r="A286" t="s">
        <v>97</v>
      </c>
      <c r="B286" s="2">
        <v>45658</v>
      </c>
      <c r="C286" t="s">
        <v>31</v>
      </c>
      <c r="D286" t="s">
        <v>20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 t="shared" si="12"/>
        <v>0</v>
      </c>
      <c r="P286">
        <f t="shared" si="13"/>
        <v>0</v>
      </c>
      <c r="Q286">
        <f t="shared" si="14"/>
        <v>0</v>
      </c>
    </row>
    <row r="287" spans="1:17">
      <c r="A287" t="s">
        <v>97</v>
      </c>
      <c r="B287" s="2">
        <v>45689</v>
      </c>
      <c r="C287" t="s">
        <v>31</v>
      </c>
      <c r="D287" t="s">
        <v>20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 t="shared" si="12"/>
        <v>0</v>
      </c>
      <c r="P287">
        <f t="shared" si="13"/>
        <v>0</v>
      </c>
      <c r="Q287">
        <f t="shared" si="14"/>
        <v>0</v>
      </c>
    </row>
    <row r="288" spans="1:17">
      <c r="A288" t="s">
        <v>97</v>
      </c>
      <c r="B288" s="2">
        <v>45717</v>
      </c>
      <c r="C288" t="s">
        <v>31</v>
      </c>
      <c r="D288" t="s">
        <v>20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 t="shared" si="12"/>
        <v>0</v>
      </c>
      <c r="P288">
        <f t="shared" si="13"/>
        <v>0</v>
      </c>
      <c r="Q288">
        <f t="shared" si="14"/>
        <v>0</v>
      </c>
    </row>
    <row r="289" spans="1:17">
      <c r="A289" t="s">
        <v>97</v>
      </c>
      <c r="B289" s="2">
        <v>45748</v>
      </c>
      <c r="C289" t="s">
        <v>31</v>
      </c>
      <c r="D289" t="s">
        <v>20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 t="shared" si="12"/>
        <v>0</v>
      </c>
      <c r="P289">
        <f t="shared" si="13"/>
        <v>0</v>
      </c>
      <c r="Q289">
        <f t="shared" si="14"/>
        <v>0</v>
      </c>
    </row>
    <row r="290" spans="1:17">
      <c r="A290" t="s">
        <v>98</v>
      </c>
      <c r="B290" s="2">
        <v>45658</v>
      </c>
      <c r="C290" t="s">
        <v>19</v>
      </c>
      <c r="D290" t="s">
        <v>20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 t="shared" si="12"/>
        <v>0</v>
      </c>
      <c r="P290">
        <f t="shared" si="13"/>
        <v>0</v>
      </c>
      <c r="Q290">
        <f t="shared" si="14"/>
        <v>0</v>
      </c>
    </row>
    <row r="291" spans="1:17">
      <c r="A291" t="s">
        <v>98</v>
      </c>
      <c r="B291" s="2">
        <v>45689</v>
      </c>
      <c r="C291" t="s">
        <v>19</v>
      </c>
      <c r="D291" t="s">
        <v>20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 t="shared" si="12"/>
        <v>0</v>
      </c>
      <c r="P291">
        <f t="shared" si="13"/>
        <v>0</v>
      </c>
      <c r="Q291">
        <f t="shared" si="14"/>
        <v>0</v>
      </c>
    </row>
    <row r="292" spans="1:17">
      <c r="A292" t="s">
        <v>98</v>
      </c>
      <c r="B292" s="2">
        <v>45717</v>
      </c>
      <c r="C292" t="s">
        <v>19</v>
      </c>
      <c r="D292" t="s">
        <v>20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 t="shared" si="12"/>
        <v>0</v>
      </c>
      <c r="P292">
        <f t="shared" si="13"/>
        <v>0</v>
      </c>
      <c r="Q292">
        <f t="shared" si="14"/>
        <v>0</v>
      </c>
    </row>
    <row r="293" spans="1:17">
      <c r="A293" t="s">
        <v>98</v>
      </c>
      <c r="B293" s="2">
        <v>45748</v>
      </c>
      <c r="C293" t="s">
        <v>19</v>
      </c>
      <c r="D293" t="s">
        <v>20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 t="shared" si="12"/>
        <v>0</v>
      </c>
      <c r="P293">
        <f t="shared" si="13"/>
        <v>0</v>
      </c>
      <c r="Q293">
        <f t="shared" si="14"/>
        <v>0</v>
      </c>
    </row>
    <row r="294" spans="1:17">
      <c r="A294" t="s">
        <v>99</v>
      </c>
      <c r="B294" s="2">
        <v>45658</v>
      </c>
      <c r="C294" t="s">
        <v>31</v>
      </c>
      <c r="D294" t="s">
        <v>22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 t="shared" si="12"/>
        <v>0</v>
      </c>
      <c r="P294">
        <f t="shared" si="13"/>
        <v>1</v>
      </c>
      <c r="Q294">
        <f t="shared" si="14"/>
        <v>0</v>
      </c>
    </row>
    <row r="295" spans="1:17">
      <c r="A295" t="s">
        <v>99</v>
      </c>
      <c r="B295" s="2">
        <v>45689</v>
      </c>
      <c r="C295" t="s">
        <v>31</v>
      </c>
      <c r="D295" t="s">
        <v>22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 t="shared" si="12"/>
        <v>0</v>
      </c>
      <c r="P295">
        <f t="shared" si="13"/>
        <v>1</v>
      </c>
      <c r="Q295">
        <f t="shared" si="14"/>
        <v>0</v>
      </c>
    </row>
    <row r="296" spans="1:17">
      <c r="A296" t="s">
        <v>99</v>
      </c>
      <c r="B296" s="2">
        <v>45717</v>
      </c>
      <c r="C296" t="s">
        <v>31</v>
      </c>
      <c r="D296" t="s">
        <v>22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 t="shared" si="12"/>
        <v>0</v>
      </c>
      <c r="P296">
        <f t="shared" si="13"/>
        <v>1</v>
      </c>
      <c r="Q296">
        <f t="shared" si="14"/>
        <v>0</v>
      </c>
    </row>
    <row r="297" spans="1:17">
      <c r="A297" t="s">
        <v>99</v>
      </c>
      <c r="B297" s="2">
        <v>45748</v>
      </c>
      <c r="C297" t="s">
        <v>31</v>
      </c>
      <c r="D297" t="s">
        <v>22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 t="shared" si="12"/>
        <v>0</v>
      </c>
      <c r="P297">
        <f t="shared" si="13"/>
        <v>1</v>
      </c>
      <c r="Q297">
        <f t="shared" si="14"/>
        <v>0</v>
      </c>
    </row>
    <row r="298" spans="1:17">
      <c r="A298" t="s">
        <v>100</v>
      </c>
      <c r="B298" s="2">
        <v>45658</v>
      </c>
      <c r="C298" t="s">
        <v>31</v>
      </c>
      <c r="D298" t="s">
        <v>22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 t="shared" si="12"/>
        <v>0</v>
      </c>
      <c r="P298">
        <f t="shared" si="13"/>
        <v>1</v>
      </c>
      <c r="Q298">
        <f t="shared" si="14"/>
        <v>0</v>
      </c>
    </row>
    <row r="299" spans="1:17">
      <c r="A299" t="s">
        <v>100</v>
      </c>
      <c r="B299" s="2">
        <v>45689</v>
      </c>
      <c r="C299" t="s">
        <v>31</v>
      </c>
      <c r="D299" t="s">
        <v>22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 t="shared" si="12"/>
        <v>0</v>
      </c>
      <c r="P299">
        <f t="shared" si="13"/>
        <v>1</v>
      </c>
      <c r="Q299">
        <f t="shared" si="14"/>
        <v>0</v>
      </c>
    </row>
    <row r="300" spans="1:17">
      <c r="A300" t="s">
        <v>100</v>
      </c>
      <c r="B300" s="2">
        <v>45717</v>
      </c>
      <c r="C300" t="s">
        <v>31</v>
      </c>
      <c r="D300" t="s">
        <v>22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 t="shared" si="12"/>
        <v>0</v>
      </c>
      <c r="P300">
        <f t="shared" si="13"/>
        <v>1</v>
      </c>
      <c r="Q300">
        <f t="shared" si="14"/>
        <v>0</v>
      </c>
    </row>
    <row r="301" spans="1:17">
      <c r="A301" t="s">
        <v>100</v>
      </c>
      <c r="B301" s="2">
        <v>45748</v>
      </c>
      <c r="C301" t="s">
        <v>31</v>
      </c>
      <c r="D301" t="s">
        <v>22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 t="shared" si="12"/>
        <v>0</v>
      </c>
      <c r="P301">
        <f t="shared" si="13"/>
        <v>1</v>
      </c>
      <c r="Q301">
        <f t="shared" si="14"/>
        <v>0</v>
      </c>
    </row>
    <row r="302" spans="1:17">
      <c r="A302" t="s">
        <v>101</v>
      </c>
      <c r="B302" s="2">
        <v>45658</v>
      </c>
      <c r="C302" t="s">
        <v>24</v>
      </c>
      <c r="D302" t="s">
        <v>32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 t="shared" si="12"/>
        <v>0</v>
      </c>
      <c r="P302">
        <f t="shared" si="13"/>
        <v>0</v>
      </c>
      <c r="Q302">
        <f t="shared" si="14"/>
        <v>1</v>
      </c>
    </row>
    <row r="303" spans="1:17">
      <c r="A303" t="s">
        <v>101</v>
      </c>
      <c r="B303" s="2">
        <v>45689</v>
      </c>
      <c r="C303" t="s">
        <v>24</v>
      </c>
      <c r="D303" t="s">
        <v>32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 t="shared" si="12"/>
        <v>0</v>
      </c>
      <c r="P303">
        <f t="shared" si="13"/>
        <v>0</v>
      </c>
      <c r="Q303">
        <f t="shared" si="14"/>
        <v>1</v>
      </c>
    </row>
    <row r="304" spans="1:17">
      <c r="A304" t="s">
        <v>101</v>
      </c>
      <c r="B304" s="2">
        <v>45717</v>
      </c>
      <c r="C304" t="s">
        <v>24</v>
      </c>
      <c r="D304" t="s">
        <v>32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 t="shared" si="12"/>
        <v>0</v>
      </c>
      <c r="P304">
        <f t="shared" si="13"/>
        <v>0</v>
      </c>
      <c r="Q304">
        <f t="shared" si="14"/>
        <v>1</v>
      </c>
    </row>
    <row r="305" spans="1:17">
      <c r="A305" t="s">
        <v>101</v>
      </c>
      <c r="B305" s="2">
        <v>45748</v>
      </c>
      <c r="C305" t="s">
        <v>24</v>
      </c>
      <c r="D305" t="s">
        <v>32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 t="shared" si="12"/>
        <v>0</v>
      </c>
      <c r="P305">
        <f t="shared" si="13"/>
        <v>0</v>
      </c>
      <c r="Q305">
        <f t="shared" si="14"/>
        <v>1</v>
      </c>
    </row>
    <row r="306" spans="1:17">
      <c r="A306" t="s">
        <v>102</v>
      </c>
      <c r="B306" s="2">
        <v>45658</v>
      </c>
      <c r="C306" t="s">
        <v>28</v>
      </c>
      <c r="D306" t="s">
        <v>20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 t="shared" si="12"/>
        <v>0</v>
      </c>
      <c r="P306">
        <f t="shared" si="13"/>
        <v>0</v>
      </c>
      <c r="Q306">
        <f t="shared" si="14"/>
        <v>0</v>
      </c>
    </row>
    <row r="307" spans="1:17">
      <c r="A307" t="s">
        <v>102</v>
      </c>
      <c r="B307" s="2">
        <v>45689</v>
      </c>
      <c r="C307" t="s">
        <v>28</v>
      </c>
      <c r="D307" t="s">
        <v>20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 t="shared" si="12"/>
        <v>0</v>
      </c>
      <c r="P307">
        <f t="shared" si="13"/>
        <v>0</v>
      </c>
      <c r="Q307">
        <f t="shared" si="14"/>
        <v>0</v>
      </c>
    </row>
    <row r="308" spans="1:17">
      <c r="A308" t="s">
        <v>102</v>
      </c>
      <c r="B308" s="2">
        <v>45717</v>
      </c>
      <c r="C308" t="s">
        <v>28</v>
      </c>
      <c r="D308" t="s">
        <v>20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 t="shared" si="12"/>
        <v>0</v>
      </c>
      <c r="P308">
        <f t="shared" si="13"/>
        <v>0</v>
      </c>
      <c r="Q308">
        <f t="shared" si="14"/>
        <v>0</v>
      </c>
    </row>
    <row r="309" spans="1:17">
      <c r="A309" t="s">
        <v>102</v>
      </c>
      <c r="B309" s="2">
        <v>45748</v>
      </c>
      <c r="C309" t="s">
        <v>28</v>
      </c>
      <c r="D309" t="s">
        <v>20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 t="shared" si="12"/>
        <v>0</v>
      </c>
      <c r="P309">
        <f t="shared" si="13"/>
        <v>0</v>
      </c>
      <c r="Q309">
        <f t="shared" si="14"/>
        <v>0</v>
      </c>
    </row>
    <row r="310" spans="1:17">
      <c r="A310" t="s">
        <v>103</v>
      </c>
      <c r="B310" s="2">
        <v>45658</v>
      </c>
      <c r="C310" t="s">
        <v>28</v>
      </c>
      <c r="D310" t="s">
        <v>22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 t="shared" si="12"/>
        <v>0</v>
      </c>
      <c r="P310">
        <f t="shared" si="13"/>
        <v>1</v>
      </c>
      <c r="Q310">
        <f t="shared" si="14"/>
        <v>0</v>
      </c>
    </row>
    <row r="311" spans="1:17">
      <c r="A311" t="s">
        <v>103</v>
      </c>
      <c r="B311" s="2">
        <v>45689</v>
      </c>
      <c r="C311" t="s">
        <v>28</v>
      </c>
      <c r="D311" t="s">
        <v>22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 t="shared" si="12"/>
        <v>0</v>
      </c>
      <c r="P311">
        <f t="shared" si="13"/>
        <v>1</v>
      </c>
      <c r="Q311">
        <f t="shared" si="14"/>
        <v>0</v>
      </c>
    </row>
    <row r="312" spans="1:17">
      <c r="A312" t="s">
        <v>103</v>
      </c>
      <c r="B312" s="2">
        <v>45717</v>
      </c>
      <c r="C312" t="s">
        <v>28</v>
      </c>
      <c r="D312" t="s">
        <v>22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 t="shared" si="12"/>
        <v>0</v>
      </c>
      <c r="P312">
        <f t="shared" si="13"/>
        <v>1</v>
      </c>
      <c r="Q312">
        <f t="shared" si="14"/>
        <v>0</v>
      </c>
    </row>
    <row r="313" spans="1:17">
      <c r="A313" t="s">
        <v>103</v>
      </c>
      <c r="B313" s="2">
        <v>45748</v>
      </c>
      <c r="C313" t="s">
        <v>28</v>
      </c>
      <c r="D313" t="s">
        <v>22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  <c r="O313">
        <f t="shared" si="12"/>
        <v>0</v>
      </c>
      <c r="P313">
        <f t="shared" si="13"/>
        <v>1</v>
      </c>
      <c r="Q313">
        <f t="shared" si="14"/>
        <v>0</v>
      </c>
    </row>
    <row r="314" spans="1:17">
      <c r="A314" t="s">
        <v>104</v>
      </c>
      <c r="B314" s="2">
        <v>45658</v>
      </c>
      <c r="C314" t="s">
        <v>24</v>
      </c>
      <c r="D314" t="s">
        <v>20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 t="shared" si="12"/>
        <v>0</v>
      </c>
      <c r="P314">
        <f t="shared" si="13"/>
        <v>0</v>
      </c>
      <c r="Q314">
        <f t="shared" si="14"/>
        <v>0</v>
      </c>
    </row>
    <row r="315" spans="1:17">
      <c r="A315" t="s">
        <v>104</v>
      </c>
      <c r="B315" s="2">
        <v>45689</v>
      </c>
      <c r="C315" t="s">
        <v>24</v>
      </c>
      <c r="D315" t="s">
        <v>20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  <c r="O315">
        <f t="shared" si="12"/>
        <v>0</v>
      </c>
      <c r="P315">
        <f t="shared" si="13"/>
        <v>0</v>
      </c>
      <c r="Q315">
        <f t="shared" si="14"/>
        <v>0</v>
      </c>
    </row>
    <row r="316" spans="1:17">
      <c r="A316" t="s">
        <v>104</v>
      </c>
      <c r="B316" s="2">
        <v>45717</v>
      </c>
      <c r="C316" t="s">
        <v>24</v>
      </c>
      <c r="D316" t="s">
        <v>20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 t="shared" si="12"/>
        <v>0</v>
      </c>
      <c r="P316">
        <f t="shared" si="13"/>
        <v>0</v>
      </c>
      <c r="Q316">
        <f t="shared" si="14"/>
        <v>0</v>
      </c>
    </row>
    <row r="317" spans="1:17">
      <c r="A317" t="s">
        <v>104</v>
      </c>
      <c r="B317" s="2">
        <v>45748</v>
      </c>
      <c r="C317" t="s">
        <v>24</v>
      </c>
      <c r="D317" t="s">
        <v>20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 t="shared" si="12"/>
        <v>0</v>
      </c>
      <c r="P317">
        <f t="shared" si="13"/>
        <v>0</v>
      </c>
      <c r="Q317">
        <f t="shared" si="14"/>
        <v>0</v>
      </c>
    </row>
    <row r="318" spans="1:17">
      <c r="A318" t="s">
        <v>105</v>
      </c>
      <c r="B318" s="2">
        <v>45658</v>
      </c>
      <c r="C318" t="s">
        <v>19</v>
      </c>
      <c r="D318" t="s">
        <v>20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 t="shared" si="12"/>
        <v>0</v>
      </c>
      <c r="P318">
        <f t="shared" si="13"/>
        <v>0</v>
      </c>
      <c r="Q318">
        <f t="shared" si="14"/>
        <v>0</v>
      </c>
    </row>
    <row r="319" spans="1:17">
      <c r="A319" t="s">
        <v>105</v>
      </c>
      <c r="B319" s="2">
        <v>45689</v>
      </c>
      <c r="C319" t="s">
        <v>19</v>
      </c>
      <c r="D319" t="s">
        <v>20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 t="shared" si="12"/>
        <v>0</v>
      </c>
      <c r="P319">
        <f t="shared" si="13"/>
        <v>0</v>
      </c>
      <c r="Q319">
        <f t="shared" si="14"/>
        <v>0</v>
      </c>
    </row>
    <row r="320" spans="1:17">
      <c r="A320" t="s">
        <v>105</v>
      </c>
      <c r="B320" s="2">
        <v>45717</v>
      </c>
      <c r="C320" t="s">
        <v>19</v>
      </c>
      <c r="D320" t="s">
        <v>20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 t="shared" si="12"/>
        <v>0</v>
      </c>
      <c r="P320">
        <f t="shared" si="13"/>
        <v>0</v>
      </c>
      <c r="Q320">
        <f t="shared" si="14"/>
        <v>0</v>
      </c>
    </row>
    <row r="321" spans="1:17">
      <c r="A321" t="s">
        <v>105</v>
      </c>
      <c r="B321" s="2">
        <v>45748</v>
      </c>
      <c r="C321" t="s">
        <v>19</v>
      </c>
      <c r="D321" t="s">
        <v>20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 t="shared" si="12"/>
        <v>0</v>
      </c>
      <c r="P321">
        <f t="shared" si="13"/>
        <v>0</v>
      </c>
      <c r="Q321">
        <f t="shared" si="14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1075-5E83-458E-9916-C6D3CB9913D1}">
  <dimension ref="A1:S18"/>
  <sheetViews>
    <sheetView workbookViewId="0">
      <selection activeCell="S8" sqref="S8"/>
    </sheetView>
  </sheetViews>
  <sheetFormatPr defaultRowHeight="14.5"/>
  <sheetData>
    <row r="1" spans="1:19">
      <c r="A1" t="s">
        <v>109</v>
      </c>
      <c r="K1" t="s">
        <v>109</v>
      </c>
    </row>
    <row r="2" spans="1:19" ht="15" thickBot="1"/>
    <row r="3" spans="1:19">
      <c r="A3" s="6" t="s">
        <v>110</v>
      </c>
      <c r="B3" s="6"/>
      <c r="K3" s="6" t="s">
        <v>110</v>
      </c>
      <c r="L3" s="6"/>
    </row>
    <row r="4" spans="1:19">
      <c r="A4" s="3" t="s">
        <v>111</v>
      </c>
      <c r="B4" s="3">
        <v>0.40895561021322352</v>
      </c>
      <c r="K4" s="3" t="s">
        <v>111</v>
      </c>
      <c r="L4" s="3">
        <v>0.85807070804410468</v>
      </c>
    </row>
    <row r="5" spans="1:19">
      <c r="A5" s="3" t="s">
        <v>112</v>
      </c>
      <c r="B5" s="3">
        <v>0.16724469112487</v>
      </c>
      <c r="K5" s="3" t="s">
        <v>112</v>
      </c>
      <c r="L5" s="3">
        <v>0.73628534000331114</v>
      </c>
    </row>
    <row r="6" spans="1:19">
      <c r="A6" s="3" t="s">
        <v>113</v>
      </c>
      <c r="B6" s="3">
        <v>0.16462596373847024</v>
      </c>
      <c r="K6" s="3" t="s">
        <v>113</v>
      </c>
      <c r="L6" s="3">
        <v>0.73545604861967373</v>
      </c>
    </row>
    <row r="7" spans="1:19">
      <c r="A7" s="3" t="s">
        <v>114</v>
      </c>
      <c r="B7" s="3">
        <v>94846.03383215853</v>
      </c>
      <c r="K7" s="3" t="s">
        <v>114</v>
      </c>
      <c r="L7" s="3">
        <v>53373.736380790499</v>
      </c>
    </row>
    <row r="8" spans="1:19" ht="15" thickBot="1">
      <c r="A8" s="4" t="s">
        <v>115</v>
      </c>
      <c r="B8" s="4">
        <v>320</v>
      </c>
      <c r="K8" s="4" t="s">
        <v>115</v>
      </c>
      <c r="L8" s="4">
        <v>320</v>
      </c>
    </row>
    <row r="10" spans="1:19" ht="15" thickBot="1">
      <c r="A10" t="s">
        <v>116</v>
      </c>
      <c r="K10" t="s">
        <v>116</v>
      </c>
    </row>
    <row r="11" spans="1:19">
      <c r="A11" s="5"/>
      <c r="B11" s="5" t="s">
        <v>121</v>
      </c>
      <c r="C11" s="5" t="s">
        <v>122</v>
      </c>
      <c r="D11" s="5" t="s">
        <v>123</v>
      </c>
      <c r="E11" s="5" t="s">
        <v>124</v>
      </c>
      <c r="F11" s="5" t="s">
        <v>125</v>
      </c>
      <c r="K11" s="5"/>
      <c r="L11" s="5" t="s">
        <v>121</v>
      </c>
      <c r="M11" s="5" t="s">
        <v>122</v>
      </c>
      <c r="N11" s="5" t="s">
        <v>123</v>
      </c>
      <c r="O11" s="5" t="s">
        <v>124</v>
      </c>
      <c r="P11" s="5" t="s">
        <v>125</v>
      </c>
    </row>
    <row r="12" spans="1:19">
      <c r="A12" s="3" t="s">
        <v>117</v>
      </c>
      <c r="B12" s="3">
        <v>1</v>
      </c>
      <c r="C12" s="3">
        <v>574513714277.01416</v>
      </c>
      <c r="D12" s="3">
        <v>574513714277.01416</v>
      </c>
      <c r="E12" s="3">
        <v>63.864872683367629</v>
      </c>
      <c r="F12" s="3">
        <v>2.4800615101359619E-14</v>
      </c>
      <c r="K12" s="3" t="s">
        <v>117</v>
      </c>
      <c r="L12" s="3">
        <v>1</v>
      </c>
      <c r="M12" s="3">
        <v>2529264292982.4736</v>
      </c>
      <c r="N12" s="3">
        <v>2529264292982.4736</v>
      </c>
      <c r="O12" s="3">
        <v>887.84877611276033</v>
      </c>
      <c r="P12" s="3">
        <v>4.7503615090053331E-94</v>
      </c>
    </row>
    <row r="13" spans="1:19">
      <c r="A13" s="3" t="s">
        <v>118</v>
      </c>
      <c r="B13" s="3">
        <v>318</v>
      </c>
      <c r="C13" s="3">
        <v>2860654902513.7251</v>
      </c>
      <c r="D13" s="3">
        <v>8995770133.6909599</v>
      </c>
      <c r="E13" s="3"/>
      <c r="F13" s="3"/>
      <c r="K13" s="3" t="s">
        <v>118</v>
      </c>
      <c r="L13" s="3">
        <v>318</v>
      </c>
      <c r="M13" s="3">
        <v>905904323808.26587</v>
      </c>
      <c r="N13" s="3">
        <v>2848755735.246119</v>
      </c>
      <c r="O13" s="3"/>
      <c r="P13" s="3"/>
    </row>
    <row r="14" spans="1:19" ht="15" thickBot="1">
      <c r="A14" s="4" t="s">
        <v>119</v>
      </c>
      <c r="B14" s="4">
        <v>319</v>
      </c>
      <c r="C14" s="4">
        <v>3435168616790.7393</v>
      </c>
      <c r="D14" s="4"/>
      <c r="E14" s="4"/>
      <c r="F14" s="4"/>
      <c r="K14" s="4" t="s">
        <v>119</v>
      </c>
      <c r="L14" s="4">
        <v>319</v>
      </c>
      <c r="M14" s="4">
        <v>3435168616790.7393</v>
      </c>
      <c r="N14" s="4"/>
      <c r="O14" s="4"/>
      <c r="P14" s="4"/>
    </row>
    <row r="15" spans="1:19" ht="15" thickBot="1"/>
    <row r="16" spans="1:19">
      <c r="A16" s="5"/>
      <c r="B16" s="5" t="s">
        <v>126</v>
      </c>
      <c r="C16" s="5" t="s">
        <v>114</v>
      </c>
      <c r="D16" s="5" t="s">
        <v>127</v>
      </c>
      <c r="E16" s="5" t="s">
        <v>128</v>
      </c>
      <c r="F16" s="5" t="s">
        <v>129</v>
      </c>
      <c r="G16" s="5" t="s">
        <v>130</v>
      </c>
      <c r="H16" s="5" t="s">
        <v>131</v>
      </c>
      <c r="I16" s="5" t="s">
        <v>132</v>
      </c>
      <c r="K16" s="5"/>
      <c r="L16" s="5" t="s">
        <v>126</v>
      </c>
      <c r="M16" s="5" t="s">
        <v>114</v>
      </c>
      <c r="N16" s="5" t="s">
        <v>127</v>
      </c>
      <c r="O16" s="5" t="s">
        <v>128</v>
      </c>
      <c r="P16" s="5" t="s">
        <v>129</v>
      </c>
      <c r="Q16" s="5" t="s">
        <v>130</v>
      </c>
      <c r="R16" s="5" t="s">
        <v>131</v>
      </c>
      <c r="S16" s="5" t="s">
        <v>132</v>
      </c>
    </row>
    <row r="17" spans="1:19">
      <c r="A17" s="3" t="s">
        <v>120</v>
      </c>
      <c r="B17" s="3">
        <v>560777.34544943704</v>
      </c>
      <c r="C17" s="3">
        <v>15906.905953068674</v>
      </c>
      <c r="D17" s="3">
        <v>35.253703460870398</v>
      </c>
      <c r="E17" s="3">
        <v>6.952876876284135E-112</v>
      </c>
      <c r="F17" s="3">
        <v>529481.27234763221</v>
      </c>
      <c r="G17" s="3">
        <v>592073.41855124186</v>
      </c>
      <c r="H17" s="3">
        <v>529481.27234763221</v>
      </c>
      <c r="I17" s="3">
        <v>592073.41855124186</v>
      </c>
      <c r="K17" s="3" t="s">
        <v>120</v>
      </c>
      <c r="L17" s="3">
        <v>446410.58293395344</v>
      </c>
      <c r="M17" s="3">
        <v>8407.7382630059928</v>
      </c>
      <c r="N17" s="3">
        <v>53.095204556754318</v>
      </c>
      <c r="O17" s="3">
        <v>4.0862695711507226E-160</v>
      </c>
      <c r="P17" s="3">
        <v>429868.76191129786</v>
      </c>
      <c r="Q17" s="3">
        <v>462952.40395660902</v>
      </c>
      <c r="R17" s="3">
        <v>429868.76191129786</v>
      </c>
      <c r="S17" s="3">
        <v>462952.40395660902</v>
      </c>
    </row>
    <row r="18" spans="1:19" ht="15" thickBot="1">
      <c r="A18" s="4" t="s">
        <v>8</v>
      </c>
      <c r="B18" s="4">
        <v>2.1295753275898281</v>
      </c>
      <c r="C18" s="4">
        <v>0.26647838106932348</v>
      </c>
      <c r="D18" s="4">
        <v>7.991550080138869</v>
      </c>
      <c r="E18" s="4">
        <v>2.4800615101360068E-14</v>
      </c>
      <c r="F18" s="4">
        <v>1.6052919176921738</v>
      </c>
      <c r="G18" s="4">
        <v>2.6538587374874822</v>
      </c>
      <c r="H18" s="4">
        <v>1.6052919176921738</v>
      </c>
      <c r="I18" s="4">
        <v>2.6538587374874822</v>
      </c>
      <c r="K18" s="4" t="s">
        <v>9</v>
      </c>
      <c r="L18" s="4">
        <v>35.678031072640458</v>
      </c>
      <c r="M18" s="4">
        <v>1.1973782890340821</v>
      </c>
      <c r="N18" s="4">
        <v>29.796791372776362</v>
      </c>
      <c r="O18" s="4">
        <v>4.7503615090054677E-94</v>
      </c>
      <c r="P18" s="4">
        <v>33.322246825554025</v>
      </c>
      <c r="Q18" s="4">
        <v>38.033815319726891</v>
      </c>
      <c r="R18" s="4">
        <v>33.322246825554025</v>
      </c>
      <c r="S18" s="4">
        <v>38.033815319726891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9B0C-C67B-4C15-97B7-67E2F2F7DAEA}">
  <dimension ref="A1:O321"/>
  <sheetViews>
    <sheetView topLeftCell="A300" zoomScale="90" zoomScaleNormal="90" workbookViewId="0">
      <selection sqref="A1:E321"/>
    </sheetView>
  </sheetViews>
  <sheetFormatPr defaultRowHeight="14.5"/>
  <sheetData>
    <row r="1" spans="1:12" ht="22.5" customHeight="1">
      <c r="A1" s="1" t="s">
        <v>16</v>
      </c>
      <c r="B1" s="1" t="s">
        <v>8</v>
      </c>
      <c r="C1" s="1" t="s">
        <v>9</v>
      </c>
      <c r="D1" s="1" t="s">
        <v>12</v>
      </c>
      <c r="E1" s="1" t="s">
        <v>106</v>
      </c>
    </row>
    <row r="2" spans="1:12">
      <c r="A2">
        <v>658832.62</v>
      </c>
      <c r="B2">
        <v>70389.11</v>
      </c>
      <c r="C2">
        <v>8302</v>
      </c>
      <c r="D2">
        <v>75</v>
      </c>
      <c r="E2">
        <v>0</v>
      </c>
      <c r="G2" t="s">
        <v>109</v>
      </c>
    </row>
    <row r="3" spans="1:12" ht="15" thickBot="1">
      <c r="A3">
        <v>634436</v>
      </c>
      <c r="B3">
        <v>43827.89</v>
      </c>
      <c r="C3">
        <v>8487</v>
      </c>
      <c r="D3">
        <v>84.4</v>
      </c>
      <c r="E3">
        <v>0</v>
      </c>
    </row>
    <row r="4" spans="1:12">
      <c r="A4">
        <v>678722.06</v>
      </c>
      <c r="B4">
        <v>59921.75</v>
      </c>
      <c r="C4">
        <v>9113</v>
      </c>
      <c r="D4">
        <v>88</v>
      </c>
      <c r="E4">
        <v>0</v>
      </c>
      <c r="G4" s="6" t="s">
        <v>110</v>
      </c>
      <c r="H4" s="6"/>
    </row>
    <row r="5" spans="1:12">
      <c r="A5">
        <v>658920.30000000005</v>
      </c>
      <c r="B5">
        <v>56856.63</v>
      </c>
      <c r="C5">
        <v>9431</v>
      </c>
      <c r="D5">
        <v>86.9</v>
      </c>
      <c r="E5">
        <v>0</v>
      </c>
      <c r="G5" s="3" t="s">
        <v>111</v>
      </c>
      <c r="H5" s="3">
        <v>0.89969456474988874</v>
      </c>
    </row>
    <row r="6" spans="1:12">
      <c r="A6">
        <v>741341.44</v>
      </c>
      <c r="B6">
        <v>48412.639999999999</v>
      </c>
      <c r="C6">
        <v>9545</v>
      </c>
      <c r="D6">
        <v>97.6</v>
      </c>
      <c r="E6">
        <v>0</v>
      </c>
      <c r="G6" s="3" t="s">
        <v>112</v>
      </c>
      <c r="H6" s="3">
        <v>0.80945030984049182</v>
      </c>
    </row>
    <row r="7" spans="1:12">
      <c r="A7">
        <v>761835.34</v>
      </c>
      <c r="B7">
        <v>64811.21</v>
      </c>
      <c r="C7">
        <v>9792</v>
      </c>
      <c r="D7">
        <v>84.2</v>
      </c>
      <c r="E7">
        <v>0</v>
      </c>
      <c r="G7" s="3" t="s">
        <v>113</v>
      </c>
      <c r="H7" s="3">
        <v>0.80703063123529162</v>
      </c>
    </row>
    <row r="8" spans="1:12">
      <c r="A8">
        <v>806615.54</v>
      </c>
      <c r="B8">
        <v>46213.45</v>
      </c>
      <c r="C8">
        <v>10616</v>
      </c>
      <c r="D8">
        <v>85.2</v>
      </c>
      <c r="E8">
        <v>0</v>
      </c>
      <c r="G8" s="3" t="s">
        <v>114</v>
      </c>
      <c r="H8" s="3">
        <v>45585.096268691224</v>
      </c>
    </row>
    <row r="9" spans="1:12" ht="15" thickBot="1">
      <c r="A9">
        <v>850164.26</v>
      </c>
      <c r="B9">
        <v>68148.52</v>
      </c>
      <c r="C9">
        <v>8567</v>
      </c>
      <c r="D9">
        <v>95.6</v>
      </c>
      <c r="E9">
        <v>0</v>
      </c>
      <c r="G9" s="4" t="s">
        <v>115</v>
      </c>
      <c r="H9" s="4">
        <v>320</v>
      </c>
    </row>
    <row r="10" spans="1:12">
      <c r="A10">
        <v>930581.7</v>
      </c>
      <c r="B10">
        <v>71838.86</v>
      </c>
      <c r="C10">
        <v>10979</v>
      </c>
      <c r="D10">
        <v>88.6</v>
      </c>
      <c r="E10">
        <v>1</v>
      </c>
    </row>
    <row r="11" spans="1:12" ht="15" thickBot="1">
      <c r="A11">
        <v>779010.94</v>
      </c>
      <c r="B11">
        <v>68133.440000000002</v>
      </c>
      <c r="C11">
        <v>9459</v>
      </c>
      <c r="D11">
        <v>85</v>
      </c>
      <c r="E11">
        <v>1</v>
      </c>
      <c r="G11" t="s">
        <v>116</v>
      </c>
    </row>
    <row r="12" spans="1:12">
      <c r="A12">
        <v>723060.76</v>
      </c>
      <c r="B12">
        <v>34285.21</v>
      </c>
      <c r="C12">
        <v>9172</v>
      </c>
      <c r="D12">
        <v>88.3</v>
      </c>
      <c r="E12">
        <v>1</v>
      </c>
      <c r="G12" s="5"/>
      <c r="H12" s="5" t="s">
        <v>121</v>
      </c>
      <c r="I12" s="5" t="s">
        <v>122</v>
      </c>
      <c r="J12" s="5" t="s">
        <v>123</v>
      </c>
      <c r="K12" s="5" t="s">
        <v>124</v>
      </c>
      <c r="L12" s="5" t="s">
        <v>125</v>
      </c>
    </row>
    <row r="13" spans="1:12">
      <c r="A13">
        <v>910791.94</v>
      </c>
      <c r="B13">
        <v>67979.88</v>
      </c>
      <c r="C13">
        <v>11230</v>
      </c>
      <c r="D13">
        <v>85.3</v>
      </c>
      <c r="E13">
        <v>1</v>
      </c>
      <c r="G13" s="3" t="s">
        <v>117</v>
      </c>
      <c r="H13" s="3">
        <v>4</v>
      </c>
      <c r="I13" s="3">
        <v>2780598301215.5977</v>
      </c>
      <c r="J13" s="3">
        <v>695149575303.89941</v>
      </c>
      <c r="K13" s="3">
        <v>334.52802702842899</v>
      </c>
      <c r="L13" s="3">
        <v>5.1305378170365995E-112</v>
      </c>
    </row>
    <row r="14" spans="1:12">
      <c r="A14">
        <v>922168.6</v>
      </c>
      <c r="B14">
        <v>71828.259999999995</v>
      </c>
      <c r="C14">
        <v>12775</v>
      </c>
      <c r="D14">
        <v>81.7</v>
      </c>
      <c r="E14">
        <v>0</v>
      </c>
      <c r="G14" s="3" t="s">
        <v>118</v>
      </c>
      <c r="H14" s="3">
        <v>315</v>
      </c>
      <c r="I14" s="3">
        <v>654570315575.14172</v>
      </c>
      <c r="J14" s="3">
        <v>2078001001.8258467</v>
      </c>
      <c r="K14" s="3"/>
      <c r="L14" s="3"/>
    </row>
    <row r="15" spans="1:12" ht="15" thickBot="1">
      <c r="A15">
        <v>726606.28</v>
      </c>
      <c r="B15">
        <v>55716.82</v>
      </c>
      <c r="C15">
        <v>10054</v>
      </c>
      <c r="D15">
        <v>84.9</v>
      </c>
      <c r="E15">
        <v>0</v>
      </c>
      <c r="G15" s="4" t="s">
        <v>119</v>
      </c>
      <c r="H15" s="4">
        <v>319</v>
      </c>
      <c r="I15" s="4">
        <v>3435168616790.7393</v>
      </c>
      <c r="J15" s="4"/>
      <c r="K15" s="4"/>
      <c r="L15" s="4"/>
    </row>
    <row r="16" spans="1:12" ht="15" thickBot="1">
      <c r="A16">
        <v>746501.09</v>
      </c>
      <c r="B16">
        <v>59909.51</v>
      </c>
      <c r="C16">
        <v>8895</v>
      </c>
      <c r="D16">
        <v>88.8</v>
      </c>
      <c r="E16">
        <v>0</v>
      </c>
    </row>
    <row r="17" spans="1:15">
      <c r="A17">
        <v>834017.02</v>
      </c>
      <c r="B17">
        <v>75305.710000000006</v>
      </c>
      <c r="C17">
        <v>10940</v>
      </c>
      <c r="D17">
        <v>76.5</v>
      </c>
      <c r="E17">
        <v>0</v>
      </c>
      <c r="G17" s="5"/>
      <c r="H17" s="5" t="s">
        <v>126</v>
      </c>
      <c r="I17" s="5" t="s">
        <v>114</v>
      </c>
      <c r="J17" s="5" t="s">
        <v>127</v>
      </c>
      <c r="K17" s="5" t="s">
        <v>128</v>
      </c>
      <c r="L17" s="5" t="s">
        <v>129</v>
      </c>
      <c r="M17" s="5" t="s">
        <v>130</v>
      </c>
      <c r="N17" s="5" t="s">
        <v>131</v>
      </c>
      <c r="O17" s="5" t="s">
        <v>132</v>
      </c>
    </row>
    <row r="18" spans="1:15">
      <c r="A18">
        <v>666152.52</v>
      </c>
      <c r="B18">
        <v>48804.22</v>
      </c>
      <c r="C18">
        <v>7057</v>
      </c>
      <c r="D18">
        <v>87.7</v>
      </c>
      <c r="E18">
        <v>0</v>
      </c>
      <c r="G18" s="3" t="s">
        <v>120</v>
      </c>
      <c r="H18" s="3">
        <v>129780.59884877688</v>
      </c>
      <c r="I18" s="3">
        <v>43590.930464313715</v>
      </c>
      <c r="J18" s="3">
        <v>2.9772385555069412</v>
      </c>
      <c r="K18" s="3">
        <v>3.1341250695582083E-3</v>
      </c>
      <c r="L18" s="3">
        <v>44014.417391952113</v>
      </c>
      <c r="M18" s="3">
        <v>215546.78030560166</v>
      </c>
      <c r="N18" s="3">
        <v>44014.417391952113</v>
      </c>
      <c r="O18" s="3">
        <v>215546.78030560166</v>
      </c>
    </row>
    <row r="19" spans="1:15">
      <c r="A19">
        <v>573155.18999999994</v>
      </c>
      <c r="B19">
        <v>59117.9</v>
      </c>
      <c r="C19">
        <v>4263</v>
      </c>
      <c r="D19">
        <v>87.6</v>
      </c>
      <c r="E19">
        <v>0</v>
      </c>
      <c r="G19" s="3" t="s">
        <v>8</v>
      </c>
      <c r="H19" s="3">
        <v>1.1790037279776429</v>
      </c>
      <c r="I19" s="3">
        <v>0.13186596223783784</v>
      </c>
      <c r="J19" s="3">
        <v>8.9409253758081437</v>
      </c>
      <c r="K19" s="3">
        <v>3.3443920169001885E-17</v>
      </c>
      <c r="L19" s="3">
        <v>0.91955434424567617</v>
      </c>
      <c r="M19" s="3">
        <v>1.4384531117096095</v>
      </c>
      <c r="N19" s="3">
        <v>0.91955434424567617</v>
      </c>
      <c r="O19" s="3">
        <v>1.4384531117096095</v>
      </c>
    </row>
    <row r="20" spans="1:15">
      <c r="A20">
        <v>666573.19999999995</v>
      </c>
      <c r="B20">
        <v>78831.12</v>
      </c>
      <c r="C20">
        <v>5538</v>
      </c>
      <c r="D20">
        <v>94.1</v>
      </c>
      <c r="E20">
        <v>0</v>
      </c>
      <c r="G20" s="3" t="s">
        <v>9</v>
      </c>
      <c r="H20" s="3">
        <v>33.528140387377611</v>
      </c>
      <c r="I20" s="3">
        <v>1.0535318377190679</v>
      </c>
      <c r="J20" s="3">
        <v>31.824515583664915</v>
      </c>
      <c r="K20" s="3">
        <v>2.0014642461637329E-100</v>
      </c>
      <c r="L20" s="3">
        <v>31.455291705280128</v>
      </c>
      <c r="M20" s="3">
        <v>35.600989069475091</v>
      </c>
      <c r="N20" s="3">
        <v>31.455291705280128</v>
      </c>
      <c r="O20" s="3">
        <v>35.600989069475091</v>
      </c>
    </row>
    <row r="21" spans="1:15">
      <c r="A21">
        <v>591619.94999999995</v>
      </c>
      <c r="B21">
        <v>41441.93</v>
      </c>
      <c r="C21">
        <v>4865</v>
      </c>
      <c r="D21">
        <v>88.3</v>
      </c>
      <c r="E21">
        <v>0</v>
      </c>
      <c r="G21" s="3" t="s">
        <v>12</v>
      </c>
      <c r="H21" s="3">
        <v>2969.1135354010016</v>
      </c>
      <c r="I21" s="3">
        <v>477.23399427749837</v>
      </c>
      <c r="J21" s="3">
        <v>6.2215046937216805</v>
      </c>
      <c r="K21" s="3">
        <v>1.5662646571854801E-9</v>
      </c>
      <c r="L21" s="3">
        <v>2030.1444215373385</v>
      </c>
      <c r="M21" s="3">
        <v>3908.0826492646647</v>
      </c>
      <c r="N21" s="3">
        <v>2030.1444215373385</v>
      </c>
      <c r="O21" s="3">
        <v>3908.0826492646647</v>
      </c>
    </row>
    <row r="22" spans="1:15" ht="15" thickBot="1">
      <c r="A22">
        <v>415721.82</v>
      </c>
      <c r="B22">
        <v>30356.28</v>
      </c>
      <c r="C22">
        <v>2822</v>
      </c>
      <c r="D22">
        <v>84.8</v>
      </c>
      <c r="E22">
        <v>0</v>
      </c>
      <c r="G22" s="4" t="s">
        <v>106</v>
      </c>
      <c r="H22" s="4">
        <v>25645.743381918081</v>
      </c>
      <c r="I22" s="4">
        <v>9035.0786609473471</v>
      </c>
      <c r="J22" s="4">
        <v>2.8384637637708261</v>
      </c>
      <c r="K22" s="4">
        <v>4.8274479364131557E-3</v>
      </c>
      <c r="L22" s="4">
        <v>7869.0135058288106</v>
      </c>
      <c r="M22" s="4">
        <v>43422.473258007347</v>
      </c>
      <c r="N22" s="4">
        <v>7869.0135058288106</v>
      </c>
      <c r="O22" s="4">
        <v>43422.473258007347</v>
      </c>
    </row>
    <row r="23" spans="1:15">
      <c r="A23">
        <v>491905.13</v>
      </c>
      <c r="B23">
        <v>33518.879999999997</v>
      </c>
      <c r="C23">
        <v>2121</v>
      </c>
      <c r="D23">
        <v>88.5</v>
      </c>
      <c r="E23">
        <v>0</v>
      </c>
    </row>
    <row r="24" spans="1:15">
      <c r="A24">
        <v>555929.4</v>
      </c>
      <c r="B24">
        <v>42267.37</v>
      </c>
      <c r="C24">
        <v>3364</v>
      </c>
      <c r="D24">
        <v>82</v>
      </c>
      <c r="E24">
        <v>0</v>
      </c>
    </row>
    <row r="25" spans="1:15">
      <c r="A25">
        <v>565810.99</v>
      </c>
      <c r="B25">
        <v>62060.43</v>
      </c>
      <c r="C25">
        <v>2613</v>
      </c>
      <c r="D25">
        <v>92.1</v>
      </c>
      <c r="E25">
        <v>0</v>
      </c>
    </row>
    <row r="26" spans="1:15">
      <c r="A26">
        <v>811771.14</v>
      </c>
      <c r="B26">
        <v>57696.69</v>
      </c>
      <c r="C26">
        <v>10218</v>
      </c>
      <c r="D26">
        <v>94.8</v>
      </c>
      <c r="E26">
        <v>0</v>
      </c>
    </row>
    <row r="27" spans="1:15">
      <c r="A27">
        <v>800451.94</v>
      </c>
      <c r="B27">
        <v>172415.52</v>
      </c>
      <c r="C27">
        <v>8927</v>
      </c>
      <c r="D27">
        <v>86.2</v>
      </c>
      <c r="E27">
        <v>0</v>
      </c>
    </row>
    <row r="28" spans="1:15">
      <c r="A28">
        <v>783672.82</v>
      </c>
      <c r="B28">
        <v>55270.52</v>
      </c>
      <c r="C28">
        <v>9315</v>
      </c>
      <c r="D28">
        <v>91.9</v>
      </c>
      <c r="E28">
        <v>0</v>
      </c>
    </row>
    <row r="29" spans="1:15">
      <c r="A29">
        <v>701641.97</v>
      </c>
      <c r="B29">
        <v>52715.1</v>
      </c>
      <c r="C29">
        <v>7223</v>
      </c>
      <c r="D29">
        <v>84.2</v>
      </c>
      <c r="E29">
        <v>0</v>
      </c>
    </row>
    <row r="30" spans="1:15">
      <c r="A30">
        <v>511844.41</v>
      </c>
      <c r="B30">
        <v>68600.62</v>
      </c>
      <c r="C30">
        <v>3988</v>
      </c>
      <c r="D30">
        <v>85</v>
      </c>
      <c r="E30">
        <v>0</v>
      </c>
    </row>
    <row r="31" spans="1:15">
      <c r="A31">
        <v>537383.79</v>
      </c>
      <c r="B31">
        <v>63176.73</v>
      </c>
      <c r="C31">
        <v>2390</v>
      </c>
      <c r="D31">
        <v>87.5</v>
      </c>
      <c r="E31">
        <v>0</v>
      </c>
    </row>
    <row r="32" spans="1:15">
      <c r="A32">
        <v>500173.02</v>
      </c>
      <c r="B32">
        <v>44970.080000000002</v>
      </c>
      <c r="C32">
        <v>2471</v>
      </c>
      <c r="D32">
        <v>87.6</v>
      </c>
      <c r="E32">
        <v>0</v>
      </c>
    </row>
    <row r="33" spans="1:5">
      <c r="A33">
        <v>427917.38</v>
      </c>
      <c r="B33">
        <v>69816.350000000006</v>
      </c>
      <c r="C33">
        <v>971</v>
      </c>
      <c r="D33">
        <v>89.9</v>
      </c>
      <c r="E33">
        <v>0</v>
      </c>
    </row>
    <row r="34" spans="1:5">
      <c r="A34">
        <v>641865.03</v>
      </c>
      <c r="B34">
        <v>54597.83</v>
      </c>
      <c r="C34">
        <v>9429</v>
      </c>
      <c r="D34">
        <v>83.3</v>
      </c>
      <c r="E34">
        <v>0</v>
      </c>
    </row>
    <row r="35" spans="1:5">
      <c r="A35">
        <v>799477.76000000001</v>
      </c>
      <c r="B35">
        <v>73771.91</v>
      </c>
      <c r="C35">
        <v>11695</v>
      </c>
      <c r="D35">
        <v>84.7</v>
      </c>
      <c r="E35">
        <v>0</v>
      </c>
    </row>
    <row r="36" spans="1:5">
      <c r="A36">
        <v>798952.17</v>
      </c>
      <c r="B36">
        <v>74413.88</v>
      </c>
      <c r="C36">
        <v>9449</v>
      </c>
      <c r="D36">
        <v>92.1</v>
      </c>
      <c r="E36">
        <v>0</v>
      </c>
    </row>
    <row r="37" spans="1:5">
      <c r="A37">
        <v>800979.78</v>
      </c>
      <c r="B37">
        <v>52483.77</v>
      </c>
      <c r="C37">
        <v>10453</v>
      </c>
      <c r="D37">
        <v>99</v>
      </c>
      <c r="E37">
        <v>0</v>
      </c>
    </row>
    <row r="38" spans="1:5">
      <c r="A38">
        <v>820593.93</v>
      </c>
      <c r="B38">
        <v>75269.87</v>
      </c>
      <c r="C38">
        <v>8838</v>
      </c>
      <c r="D38">
        <v>83.1</v>
      </c>
      <c r="E38">
        <v>0</v>
      </c>
    </row>
    <row r="39" spans="1:5">
      <c r="A39">
        <v>718330.53</v>
      </c>
      <c r="B39">
        <v>61245.41</v>
      </c>
      <c r="C39">
        <v>8156</v>
      </c>
      <c r="D39">
        <v>92.9</v>
      </c>
      <c r="E39">
        <v>0</v>
      </c>
    </row>
    <row r="40" spans="1:5">
      <c r="A40">
        <v>736633.4</v>
      </c>
      <c r="B40">
        <v>93381.26</v>
      </c>
      <c r="C40">
        <v>7562</v>
      </c>
      <c r="D40">
        <v>82.9</v>
      </c>
      <c r="E40">
        <v>0</v>
      </c>
    </row>
    <row r="41" spans="1:5">
      <c r="A41">
        <v>828623.85</v>
      </c>
      <c r="B41">
        <v>65012.19</v>
      </c>
      <c r="C41">
        <v>9598</v>
      </c>
      <c r="D41">
        <v>98.3</v>
      </c>
      <c r="E41">
        <v>0</v>
      </c>
    </row>
    <row r="42" spans="1:5">
      <c r="A42">
        <v>592195.85</v>
      </c>
      <c r="B42">
        <v>40462.94</v>
      </c>
      <c r="C42">
        <v>3660</v>
      </c>
      <c r="D42">
        <v>95.2</v>
      </c>
      <c r="E42">
        <v>0</v>
      </c>
    </row>
    <row r="43" spans="1:5">
      <c r="A43">
        <v>532644.46</v>
      </c>
      <c r="B43">
        <v>46123.88</v>
      </c>
      <c r="C43">
        <v>3227</v>
      </c>
      <c r="D43">
        <v>75.400000000000006</v>
      </c>
      <c r="E43">
        <v>0</v>
      </c>
    </row>
    <row r="44" spans="1:5">
      <c r="A44">
        <v>657429.18000000005</v>
      </c>
      <c r="B44">
        <v>68077.539999999994</v>
      </c>
      <c r="C44">
        <v>3360</v>
      </c>
      <c r="D44">
        <v>88.2</v>
      </c>
      <c r="E44">
        <v>0</v>
      </c>
    </row>
    <row r="45" spans="1:5">
      <c r="A45">
        <v>605178</v>
      </c>
      <c r="B45">
        <v>64882.14</v>
      </c>
      <c r="C45">
        <v>3642</v>
      </c>
      <c r="D45">
        <v>87.8</v>
      </c>
      <c r="E45">
        <v>0</v>
      </c>
    </row>
    <row r="46" spans="1:5">
      <c r="A46">
        <v>595467.6</v>
      </c>
      <c r="B46">
        <v>138855.51</v>
      </c>
      <c r="C46">
        <v>5145</v>
      </c>
      <c r="D46">
        <v>88.2</v>
      </c>
      <c r="E46">
        <v>0</v>
      </c>
    </row>
    <row r="47" spans="1:5">
      <c r="A47">
        <v>599603.4</v>
      </c>
      <c r="B47">
        <v>63630.21</v>
      </c>
      <c r="C47">
        <v>4460</v>
      </c>
      <c r="D47">
        <v>98.6</v>
      </c>
      <c r="E47">
        <v>0</v>
      </c>
    </row>
    <row r="48" spans="1:5">
      <c r="A48">
        <v>614800.09</v>
      </c>
      <c r="B48">
        <v>50043.65</v>
      </c>
      <c r="C48">
        <v>3804</v>
      </c>
      <c r="D48">
        <v>90.9</v>
      </c>
      <c r="E48">
        <v>0</v>
      </c>
    </row>
    <row r="49" spans="1:5">
      <c r="A49">
        <v>585365.73</v>
      </c>
      <c r="B49">
        <v>42093.84</v>
      </c>
      <c r="C49">
        <v>4074</v>
      </c>
      <c r="D49">
        <v>88</v>
      </c>
      <c r="E49">
        <v>0</v>
      </c>
    </row>
    <row r="50" spans="1:5">
      <c r="A50">
        <v>622811.74</v>
      </c>
      <c r="B50">
        <v>46624.05</v>
      </c>
      <c r="C50">
        <v>5104</v>
      </c>
      <c r="D50">
        <v>97.3</v>
      </c>
      <c r="E50">
        <v>0</v>
      </c>
    </row>
    <row r="51" spans="1:5">
      <c r="A51">
        <v>603297.56999999995</v>
      </c>
      <c r="B51">
        <v>49710.29</v>
      </c>
      <c r="C51">
        <v>5559</v>
      </c>
      <c r="D51">
        <v>71</v>
      </c>
      <c r="E51">
        <v>0</v>
      </c>
    </row>
    <row r="52" spans="1:5">
      <c r="A52">
        <v>625672.86</v>
      </c>
      <c r="B52">
        <v>48287.85</v>
      </c>
      <c r="C52">
        <v>5150</v>
      </c>
      <c r="D52">
        <v>80.400000000000006</v>
      </c>
      <c r="E52">
        <v>0</v>
      </c>
    </row>
    <row r="53" spans="1:5">
      <c r="A53">
        <v>773815.14</v>
      </c>
      <c r="B53">
        <v>65312.49</v>
      </c>
      <c r="C53">
        <v>7189</v>
      </c>
      <c r="D53">
        <v>93.7</v>
      </c>
      <c r="E53">
        <v>0</v>
      </c>
    </row>
    <row r="54" spans="1:5">
      <c r="A54">
        <v>463534.25</v>
      </c>
      <c r="B54">
        <v>53015.46</v>
      </c>
      <c r="C54">
        <v>3279</v>
      </c>
      <c r="D54">
        <v>84.3</v>
      </c>
      <c r="E54">
        <v>0</v>
      </c>
    </row>
    <row r="55" spans="1:5">
      <c r="A55">
        <v>746677.75</v>
      </c>
      <c r="B55">
        <v>99874.01</v>
      </c>
      <c r="C55">
        <v>5887</v>
      </c>
      <c r="D55">
        <v>88.7</v>
      </c>
      <c r="E55">
        <v>0</v>
      </c>
    </row>
    <row r="56" spans="1:5">
      <c r="A56">
        <v>720852.5</v>
      </c>
      <c r="B56">
        <v>81195.5</v>
      </c>
      <c r="C56">
        <v>5516</v>
      </c>
      <c r="D56">
        <v>88</v>
      </c>
      <c r="E56">
        <v>0</v>
      </c>
    </row>
    <row r="57" spans="1:5">
      <c r="A57">
        <v>487464.91</v>
      </c>
      <c r="B57">
        <v>27808.6</v>
      </c>
      <c r="C57">
        <v>2863</v>
      </c>
      <c r="D57">
        <v>89.3</v>
      </c>
      <c r="E57">
        <v>0</v>
      </c>
    </row>
    <row r="58" spans="1:5">
      <c r="A58">
        <v>518049.26</v>
      </c>
      <c r="B58">
        <v>19365.060000000001</v>
      </c>
      <c r="C58">
        <v>2378</v>
      </c>
      <c r="D58">
        <v>94.8</v>
      </c>
      <c r="E58">
        <v>1</v>
      </c>
    </row>
    <row r="59" spans="1:5">
      <c r="A59">
        <v>500298.48</v>
      </c>
      <c r="B59">
        <v>59405.68</v>
      </c>
      <c r="C59">
        <v>2515</v>
      </c>
      <c r="D59">
        <v>76</v>
      </c>
      <c r="E59">
        <v>1</v>
      </c>
    </row>
    <row r="60" spans="1:5">
      <c r="A60">
        <v>617291.15</v>
      </c>
      <c r="B60">
        <v>118910.48</v>
      </c>
      <c r="C60">
        <v>4022</v>
      </c>
      <c r="D60">
        <v>87.1</v>
      </c>
      <c r="E60">
        <v>1</v>
      </c>
    </row>
    <row r="61" spans="1:5">
      <c r="A61">
        <v>553756.43000000005</v>
      </c>
      <c r="B61">
        <v>52952.12</v>
      </c>
      <c r="C61">
        <v>4377</v>
      </c>
      <c r="D61">
        <v>88.6</v>
      </c>
      <c r="E61">
        <v>1</v>
      </c>
    </row>
    <row r="62" spans="1:5">
      <c r="A62">
        <v>749559.71</v>
      </c>
      <c r="B62">
        <v>74907.98</v>
      </c>
      <c r="C62">
        <v>5306</v>
      </c>
      <c r="D62">
        <v>95.6</v>
      </c>
      <c r="E62">
        <v>0</v>
      </c>
    </row>
    <row r="63" spans="1:5">
      <c r="A63">
        <v>615966.48</v>
      </c>
      <c r="B63">
        <v>37284.660000000003</v>
      </c>
      <c r="C63">
        <v>3928</v>
      </c>
      <c r="D63">
        <v>86.5</v>
      </c>
      <c r="E63">
        <v>0</v>
      </c>
    </row>
    <row r="64" spans="1:5">
      <c r="A64">
        <v>572011.19999999995</v>
      </c>
      <c r="B64">
        <v>50343.19</v>
      </c>
      <c r="C64">
        <v>3845</v>
      </c>
      <c r="D64">
        <v>88.7</v>
      </c>
      <c r="E64">
        <v>0</v>
      </c>
    </row>
    <row r="65" spans="1:5">
      <c r="A65">
        <v>761860.19</v>
      </c>
      <c r="B65">
        <v>74954.47</v>
      </c>
      <c r="C65">
        <v>6620</v>
      </c>
      <c r="D65">
        <v>91.1</v>
      </c>
      <c r="E65">
        <v>0</v>
      </c>
    </row>
    <row r="66" spans="1:5">
      <c r="A66">
        <v>784502.68</v>
      </c>
      <c r="B66">
        <v>70040.31</v>
      </c>
      <c r="C66">
        <v>9175</v>
      </c>
      <c r="D66">
        <v>95.1</v>
      </c>
      <c r="E66">
        <v>0</v>
      </c>
    </row>
    <row r="67" spans="1:5">
      <c r="A67">
        <v>717141.55</v>
      </c>
      <c r="B67">
        <v>51148.69</v>
      </c>
      <c r="C67">
        <v>7940</v>
      </c>
      <c r="D67">
        <v>93.3</v>
      </c>
      <c r="E67">
        <v>0</v>
      </c>
    </row>
    <row r="68" spans="1:5">
      <c r="A68">
        <v>685379.08</v>
      </c>
      <c r="B68">
        <v>79346.100000000006</v>
      </c>
      <c r="C68">
        <v>9628</v>
      </c>
      <c r="D68">
        <v>99</v>
      </c>
      <c r="E68">
        <v>0</v>
      </c>
    </row>
    <row r="69" spans="1:5">
      <c r="A69">
        <v>740496.65</v>
      </c>
      <c r="B69">
        <v>42018.400000000001</v>
      </c>
      <c r="C69">
        <v>8296</v>
      </c>
      <c r="D69">
        <v>91.8</v>
      </c>
      <c r="E69">
        <v>0</v>
      </c>
    </row>
    <row r="70" spans="1:5">
      <c r="A70">
        <v>661927.14</v>
      </c>
      <c r="B70">
        <v>70937.240000000005</v>
      </c>
      <c r="C70">
        <v>3595</v>
      </c>
      <c r="D70">
        <v>88.9</v>
      </c>
      <c r="E70">
        <v>0</v>
      </c>
    </row>
    <row r="71" spans="1:5">
      <c r="A71">
        <v>479050.5</v>
      </c>
      <c r="B71">
        <v>36813.449999999997</v>
      </c>
      <c r="C71">
        <v>2834</v>
      </c>
      <c r="D71">
        <v>81.8</v>
      </c>
      <c r="E71">
        <v>0</v>
      </c>
    </row>
    <row r="72" spans="1:5">
      <c r="A72">
        <v>605023.87</v>
      </c>
      <c r="B72">
        <v>60571.82</v>
      </c>
      <c r="C72">
        <v>3193</v>
      </c>
      <c r="D72">
        <v>99</v>
      </c>
      <c r="E72">
        <v>0</v>
      </c>
    </row>
    <row r="73" spans="1:5">
      <c r="A73">
        <v>674774.09</v>
      </c>
      <c r="B73">
        <v>55081.16</v>
      </c>
      <c r="C73">
        <v>5485</v>
      </c>
      <c r="D73">
        <v>88</v>
      </c>
      <c r="E73">
        <v>0</v>
      </c>
    </row>
    <row r="74" spans="1:5">
      <c r="A74">
        <v>616069.41</v>
      </c>
      <c r="B74">
        <v>46201.46</v>
      </c>
      <c r="C74">
        <v>5918</v>
      </c>
      <c r="D74">
        <v>78.8</v>
      </c>
      <c r="E74">
        <v>0</v>
      </c>
    </row>
    <row r="75" spans="1:5">
      <c r="A75">
        <v>630829.93999999994</v>
      </c>
      <c r="B75">
        <v>53762.92</v>
      </c>
      <c r="C75">
        <v>6821</v>
      </c>
      <c r="D75">
        <v>94.6</v>
      </c>
      <c r="E75">
        <v>0</v>
      </c>
    </row>
    <row r="76" spans="1:5">
      <c r="A76">
        <v>788087.68</v>
      </c>
      <c r="B76">
        <v>70144.78</v>
      </c>
      <c r="C76">
        <v>6806</v>
      </c>
      <c r="D76">
        <v>93.1</v>
      </c>
      <c r="E76">
        <v>0</v>
      </c>
    </row>
    <row r="77" spans="1:5">
      <c r="A77">
        <v>680840.36</v>
      </c>
      <c r="B77">
        <v>58749.63</v>
      </c>
      <c r="C77">
        <v>8252</v>
      </c>
      <c r="D77">
        <v>85.2</v>
      </c>
      <c r="E77">
        <v>0</v>
      </c>
    </row>
    <row r="78" spans="1:5">
      <c r="A78">
        <v>643657.47</v>
      </c>
      <c r="B78">
        <v>56973.18</v>
      </c>
      <c r="C78">
        <v>6662</v>
      </c>
      <c r="D78">
        <v>77.7</v>
      </c>
      <c r="E78">
        <v>0</v>
      </c>
    </row>
    <row r="79" spans="1:5">
      <c r="A79">
        <v>691112.6</v>
      </c>
      <c r="B79">
        <v>54872.82</v>
      </c>
      <c r="C79">
        <v>5962</v>
      </c>
      <c r="D79">
        <v>85.4</v>
      </c>
      <c r="E79">
        <v>0</v>
      </c>
    </row>
    <row r="80" spans="1:5">
      <c r="A80">
        <v>776922.17</v>
      </c>
      <c r="B80">
        <v>80562.81</v>
      </c>
      <c r="C80">
        <v>7470</v>
      </c>
      <c r="D80">
        <v>83.5</v>
      </c>
      <c r="E80">
        <v>0</v>
      </c>
    </row>
    <row r="81" spans="1:5">
      <c r="A81">
        <v>636561.34</v>
      </c>
      <c r="B81">
        <v>77999.899999999994</v>
      </c>
      <c r="C81">
        <v>5974</v>
      </c>
      <c r="D81">
        <v>81.3</v>
      </c>
      <c r="E81">
        <v>0</v>
      </c>
    </row>
    <row r="82" spans="1:5">
      <c r="A82">
        <v>621369.57999999996</v>
      </c>
      <c r="B82">
        <v>60881.01</v>
      </c>
      <c r="C82">
        <v>5410</v>
      </c>
      <c r="D82">
        <v>83.9</v>
      </c>
      <c r="E82">
        <v>0</v>
      </c>
    </row>
    <row r="83" spans="1:5">
      <c r="A83">
        <v>682208.01</v>
      </c>
      <c r="B83">
        <v>60628.38</v>
      </c>
      <c r="C83">
        <v>4451</v>
      </c>
      <c r="D83">
        <v>89.6</v>
      </c>
      <c r="E83">
        <v>0</v>
      </c>
    </row>
    <row r="84" spans="1:5">
      <c r="A84">
        <v>727241.86</v>
      </c>
      <c r="B84">
        <v>72731.14</v>
      </c>
      <c r="C84">
        <v>4644</v>
      </c>
      <c r="D84">
        <v>87.1</v>
      </c>
      <c r="E84">
        <v>0</v>
      </c>
    </row>
    <row r="85" spans="1:5">
      <c r="A85">
        <v>569100.78</v>
      </c>
      <c r="B85">
        <v>36475.71</v>
      </c>
      <c r="C85">
        <v>3559</v>
      </c>
      <c r="D85">
        <v>83.6</v>
      </c>
      <c r="E85">
        <v>0</v>
      </c>
    </row>
    <row r="86" spans="1:5">
      <c r="A86">
        <v>574436.29</v>
      </c>
      <c r="B86">
        <v>55388.11</v>
      </c>
      <c r="C86">
        <v>3091</v>
      </c>
      <c r="D86">
        <v>85.4</v>
      </c>
      <c r="E86">
        <v>0</v>
      </c>
    </row>
    <row r="87" spans="1:5">
      <c r="A87">
        <v>611766.72</v>
      </c>
      <c r="B87">
        <v>88443.77</v>
      </c>
      <c r="C87">
        <v>4004</v>
      </c>
      <c r="D87">
        <v>91.9</v>
      </c>
      <c r="E87">
        <v>0</v>
      </c>
    </row>
    <row r="88" spans="1:5">
      <c r="A88">
        <v>614596.31999999995</v>
      </c>
      <c r="B88">
        <v>78231.91</v>
      </c>
      <c r="C88">
        <v>3788</v>
      </c>
      <c r="D88">
        <v>88.5</v>
      </c>
      <c r="E88">
        <v>0</v>
      </c>
    </row>
    <row r="89" spans="1:5">
      <c r="A89">
        <v>450711.92</v>
      </c>
      <c r="B89">
        <v>18996.32</v>
      </c>
      <c r="C89">
        <v>1260</v>
      </c>
      <c r="D89">
        <v>86.4</v>
      </c>
      <c r="E89">
        <v>0</v>
      </c>
    </row>
    <row r="90" spans="1:5">
      <c r="A90">
        <v>711213.46</v>
      </c>
      <c r="B90">
        <v>50517.94</v>
      </c>
      <c r="C90">
        <v>7024</v>
      </c>
      <c r="D90">
        <v>79.2</v>
      </c>
      <c r="E90">
        <v>0</v>
      </c>
    </row>
    <row r="91" spans="1:5">
      <c r="A91">
        <v>627171.9</v>
      </c>
      <c r="B91">
        <v>141540.29</v>
      </c>
      <c r="C91">
        <v>5400</v>
      </c>
      <c r="D91">
        <v>87</v>
      </c>
      <c r="E91">
        <v>0</v>
      </c>
    </row>
    <row r="92" spans="1:5">
      <c r="A92">
        <v>739852.58</v>
      </c>
      <c r="B92">
        <v>82116.19</v>
      </c>
      <c r="C92">
        <v>5988</v>
      </c>
      <c r="D92">
        <v>91.8</v>
      </c>
      <c r="E92">
        <v>0</v>
      </c>
    </row>
    <row r="93" spans="1:5">
      <c r="A93">
        <v>586307.22</v>
      </c>
      <c r="B93">
        <v>31207.51</v>
      </c>
      <c r="C93">
        <v>3701</v>
      </c>
      <c r="D93">
        <v>84.7</v>
      </c>
      <c r="E93">
        <v>0</v>
      </c>
    </row>
    <row r="94" spans="1:5">
      <c r="A94">
        <v>585937.48</v>
      </c>
      <c r="B94">
        <v>38966.589999999997</v>
      </c>
      <c r="C94">
        <v>4509</v>
      </c>
      <c r="D94">
        <v>91.1</v>
      </c>
      <c r="E94">
        <v>0</v>
      </c>
    </row>
    <row r="95" spans="1:5">
      <c r="A95">
        <v>753473.55</v>
      </c>
      <c r="B95">
        <v>67439.3</v>
      </c>
      <c r="C95">
        <v>6477</v>
      </c>
      <c r="D95">
        <v>90.9</v>
      </c>
      <c r="E95">
        <v>0</v>
      </c>
    </row>
    <row r="96" spans="1:5">
      <c r="A96">
        <v>838250.32</v>
      </c>
      <c r="B96">
        <v>86421.88</v>
      </c>
      <c r="C96">
        <v>7970</v>
      </c>
      <c r="D96">
        <v>91.3</v>
      </c>
      <c r="E96">
        <v>0</v>
      </c>
    </row>
    <row r="97" spans="1:5">
      <c r="A97">
        <v>607898.12</v>
      </c>
      <c r="B97">
        <v>9534.65</v>
      </c>
      <c r="C97">
        <v>6057</v>
      </c>
      <c r="D97">
        <v>94.1</v>
      </c>
      <c r="E97">
        <v>0</v>
      </c>
    </row>
    <row r="98" spans="1:5">
      <c r="A98">
        <v>691113.62</v>
      </c>
      <c r="B98">
        <v>61132.07</v>
      </c>
      <c r="C98">
        <v>6394</v>
      </c>
      <c r="D98">
        <v>91</v>
      </c>
      <c r="E98">
        <v>0</v>
      </c>
    </row>
    <row r="99" spans="1:5">
      <c r="A99">
        <v>735509.4</v>
      </c>
      <c r="B99">
        <v>78839.39</v>
      </c>
      <c r="C99">
        <v>5150</v>
      </c>
      <c r="D99">
        <v>85.8</v>
      </c>
      <c r="E99">
        <v>0</v>
      </c>
    </row>
    <row r="100" spans="1:5">
      <c r="A100">
        <v>605775.32999999996</v>
      </c>
      <c r="B100">
        <v>38752.800000000003</v>
      </c>
      <c r="C100">
        <v>4712</v>
      </c>
      <c r="D100">
        <v>89.7</v>
      </c>
      <c r="E100">
        <v>0</v>
      </c>
    </row>
    <row r="101" spans="1:5">
      <c r="A101">
        <v>675177.68</v>
      </c>
      <c r="B101">
        <v>55101.1</v>
      </c>
      <c r="C101">
        <v>5281</v>
      </c>
      <c r="D101">
        <v>91</v>
      </c>
      <c r="E101">
        <v>0</v>
      </c>
    </row>
    <row r="102" spans="1:5">
      <c r="A102">
        <v>635181.35</v>
      </c>
      <c r="B102">
        <v>53084.76</v>
      </c>
      <c r="C102">
        <v>3642</v>
      </c>
      <c r="D102">
        <v>91.4</v>
      </c>
      <c r="E102">
        <v>0</v>
      </c>
    </row>
    <row r="103" spans="1:5">
      <c r="A103">
        <v>586626.93999999994</v>
      </c>
      <c r="B103">
        <v>63101.59</v>
      </c>
      <c r="C103">
        <v>4373</v>
      </c>
      <c r="D103">
        <v>90.4</v>
      </c>
      <c r="E103">
        <v>0</v>
      </c>
    </row>
    <row r="104" spans="1:5">
      <c r="A104">
        <v>740102.64</v>
      </c>
      <c r="B104">
        <v>90084.4</v>
      </c>
      <c r="C104">
        <v>6832</v>
      </c>
      <c r="D104">
        <v>80.5</v>
      </c>
      <c r="E104">
        <v>0</v>
      </c>
    </row>
    <row r="105" spans="1:5">
      <c r="A105">
        <v>625514.04</v>
      </c>
      <c r="B105">
        <v>32266.639999999999</v>
      </c>
      <c r="C105">
        <v>2414</v>
      </c>
      <c r="D105">
        <v>92.1</v>
      </c>
      <c r="E105">
        <v>0</v>
      </c>
    </row>
    <row r="106" spans="1:5">
      <c r="A106">
        <v>727227.2</v>
      </c>
      <c r="B106">
        <v>57919.07</v>
      </c>
      <c r="C106">
        <v>7374</v>
      </c>
      <c r="D106">
        <v>82.3</v>
      </c>
      <c r="E106">
        <v>0</v>
      </c>
    </row>
    <row r="107" spans="1:5">
      <c r="A107">
        <v>783797.89</v>
      </c>
      <c r="B107">
        <v>74679.350000000006</v>
      </c>
      <c r="C107">
        <v>8739</v>
      </c>
      <c r="D107">
        <v>91.8</v>
      </c>
      <c r="E107">
        <v>0</v>
      </c>
    </row>
    <row r="108" spans="1:5">
      <c r="A108">
        <v>795153.84</v>
      </c>
      <c r="B108">
        <v>64294.23</v>
      </c>
      <c r="C108">
        <v>6992</v>
      </c>
      <c r="D108">
        <v>94.1</v>
      </c>
      <c r="E108">
        <v>0</v>
      </c>
    </row>
    <row r="109" spans="1:5">
      <c r="A109">
        <v>665594.93999999994</v>
      </c>
      <c r="B109">
        <v>31042.03</v>
      </c>
      <c r="C109">
        <v>7107</v>
      </c>
      <c r="D109">
        <v>87</v>
      </c>
      <c r="E109">
        <v>0</v>
      </c>
    </row>
    <row r="110" spans="1:5">
      <c r="A110">
        <v>709478.39</v>
      </c>
      <c r="B110">
        <v>75265.02</v>
      </c>
      <c r="C110">
        <v>6975</v>
      </c>
      <c r="D110">
        <v>73.8</v>
      </c>
      <c r="E110">
        <v>0</v>
      </c>
    </row>
    <row r="111" spans="1:5">
      <c r="A111">
        <v>664162.49</v>
      </c>
      <c r="B111">
        <v>69411.7</v>
      </c>
      <c r="C111">
        <v>5493</v>
      </c>
      <c r="D111">
        <v>86.5</v>
      </c>
      <c r="E111">
        <v>0</v>
      </c>
    </row>
    <row r="112" spans="1:5">
      <c r="A112">
        <v>633494.21</v>
      </c>
      <c r="B112">
        <v>51056.15</v>
      </c>
      <c r="C112">
        <v>5686</v>
      </c>
      <c r="D112">
        <v>89.9</v>
      </c>
      <c r="E112">
        <v>0</v>
      </c>
    </row>
    <row r="113" spans="1:5">
      <c r="A113">
        <v>713611.16</v>
      </c>
      <c r="B113">
        <v>52758.01</v>
      </c>
      <c r="C113">
        <v>4063</v>
      </c>
      <c r="D113">
        <v>91.7</v>
      </c>
      <c r="E113">
        <v>0</v>
      </c>
    </row>
    <row r="114" spans="1:5">
      <c r="A114">
        <v>778397.97</v>
      </c>
      <c r="B114">
        <v>61426.04</v>
      </c>
      <c r="C114">
        <v>8966</v>
      </c>
      <c r="D114">
        <v>76.400000000000006</v>
      </c>
      <c r="E114">
        <v>0</v>
      </c>
    </row>
    <row r="115" spans="1:5">
      <c r="A115">
        <v>873380.02</v>
      </c>
      <c r="B115">
        <v>80176.34</v>
      </c>
      <c r="C115">
        <v>9489</v>
      </c>
      <c r="D115">
        <v>94.3</v>
      </c>
      <c r="E115">
        <v>0</v>
      </c>
    </row>
    <row r="116" spans="1:5">
      <c r="A116">
        <v>697287.9</v>
      </c>
      <c r="B116">
        <v>33605.18</v>
      </c>
      <c r="C116">
        <v>9225</v>
      </c>
      <c r="D116">
        <v>88.4</v>
      </c>
      <c r="E116">
        <v>0</v>
      </c>
    </row>
    <row r="117" spans="1:5">
      <c r="A117">
        <v>718074.79</v>
      </c>
      <c r="B117">
        <v>25990.54</v>
      </c>
      <c r="C117">
        <v>9249</v>
      </c>
      <c r="D117">
        <v>92.5</v>
      </c>
      <c r="E117">
        <v>0</v>
      </c>
    </row>
    <row r="118" spans="1:5">
      <c r="A118">
        <v>714942.43</v>
      </c>
      <c r="B118">
        <v>43685.14</v>
      </c>
      <c r="C118">
        <v>7821</v>
      </c>
      <c r="D118">
        <v>91</v>
      </c>
      <c r="E118">
        <v>0</v>
      </c>
    </row>
    <row r="119" spans="1:5">
      <c r="A119">
        <v>820519.04</v>
      </c>
      <c r="B119">
        <v>57360.01</v>
      </c>
      <c r="C119">
        <v>8434</v>
      </c>
      <c r="D119">
        <v>84.1</v>
      </c>
      <c r="E119">
        <v>0</v>
      </c>
    </row>
    <row r="120" spans="1:5">
      <c r="A120">
        <v>684217.32</v>
      </c>
      <c r="B120">
        <v>42415.47</v>
      </c>
      <c r="C120">
        <v>8512</v>
      </c>
      <c r="D120">
        <v>96.8</v>
      </c>
      <c r="E120">
        <v>0</v>
      </c>
    </row>
    <row r="121" spans="1:5">
      <c r="A121">
        <v>735480.19</v>
      </c>
      <c r="B121">
        <v>54968.98</v>
      </c>
      <c r="C121">
        <v>7816</v>
      </c>
      <c r="D121">
        <v>95.7</v>
      </c>
      <c r="E121">
        <v>0</v>
      </c>
    </row>
    <row r="122" spans="1:5">
      <c r="A122">
        <v>509484.81</v>
      </c>
      <c r="B122">
        <v>43896.13</v>
      </c>
      <c r="C122">
        <v>3853</v>
      </c>
      <c r="D122">
        <v>83</v>
      </c>
      <c r="E122">
        <v>0</v>
      </c>
    </row>
    <row r="123" spans="1:5">
      <c r="A123">
        <v>654317.09</v>
      </c>
      <c r="B123">
        <v>83044.17</v>
      </c>
      <c r="C123">
        <v>3694</v>
      </c>
      <c r="D123">
        <v>89.4</v>
      </c>
      <c r="E123">
        <v>0</v>
      </c>
    </row>
    <row r="124" spans="1:5">
      <c r="A124">
        <v>557487.26</v>
      </c>
      <c r="B124">
        <v>48396.13</v>
      </c>
      <c r="C124">
        <v>4423</v>
      </c>
      <c r="D124">
        <v>85.7</v>
      </c>
      <c r="E124">
        <v>0</v>
      </c>
    </row>
    <row r="125" spans="1:5">
      <c r="A125">
        <v>441275.42</v>
      </c>
      <c r="B125">
        <v>19063.48</v>
      </c>
      <c r="C125">
        <v>1906</v>
      </c>
      <c r="D125">
        <v>97.8</v>
      </c>
      <c r="E125">
        <v>0</v>
      </c>
    </row>
    <row r="126" spans="1:5">
      <c r="A126">
        <v>914544.17</v>
      </c>
      <c r="B126">
        <v>61541.21</v>
      </c>
      <c r="C126">
        <v>10396</v>
      </c>
      <c r="D126">
        <v>88.1</v>
      </c>
      <c r="E126">
        <v>0</v>
      </c>
    </row>
    <row r="127" spans="1:5">
      <c r="A127">
        <v>842439.67</v>
      </c>
      <c r="B127">
        <v>44747</v>
      </c>
      <c r="C127">
        <v>11076</v>
      </c>
      <c r="D127">
        <v>98.3</v>
      </c>
      <c r="E127">
        <v>0</v>
      </c>
    </row>
    <row r="128" spans="1:5">
      <c r="A128">
        <v>842157.92</v>
      </c>
      <c r="B128">
        <v>56517.9</v>
      </c>
      <c r="C128">
        <v>9574</v>
      </c>
      <c r="D128">
        <v>88.2</v>
      </c>
      <c r="E128">
        <v>0</v>
      </c>
    </row>
    <row r="129" spans="1:5">
      <c r="A129">
        <v>697155.3</v>
      </c>
      <c r="B129">
        <v>37828.5</v>
      </c>
      <c r="C129">
        <v>8221</v>
      </c>
      <c r="D129">
        <v>81.5</v>
      </c>
      <c r="E129">
        <v>0</v>
      </c>
    </row>
    <row r="130" spans="1:5">
      <c r="A130">
        <v>849018.3</v>
      </c>
      <c r="B130">
        <v>66250.53</v>
      </c>
      <c r="C130">
        <v>10618</v>
      </c>
      <c r="D130">
        <v>88.3</v>
      </c>
      <c r="E130">
        <v>0</v>
      </c>
    </row>
    <row r="131" spans="1:5">
      <c r="A131">
        <v>801830.35</v>
      </c>
      <c r="B131">
        <v>68410.929999999993</v>
      </c>
      <c r="C131">
        <v>10596</v>
      </c>
      <c r="D131">
        <v>81.2</v>
      </c>
      <c r="E131">
        <v>0</v>
      </c>
    </row>
    <row r="132" spans="1:5">
      <c r="A132">
        <v>725235.28</v>
      </c>
      <c r="B132">
        <v>50735.63</v>
      </c>
      <c r="C132">
        <v>9619</v>
      </c>
      <c r="D132">
        <v>93.8</v>
      </c>
      <c r="E132">
        <v>0</v>
      </c>
    </row>
    <row r="133" spans="1:5">
      <c r="A133">
        <v>811452.72</v>
      </c>
      <c r="B133">
        <v>66455.8</v>
      </c>
      <c r="C133">
        <v>10836</v>
      </c>
      <c r="D133">
        <v>85</v>
      </c>
      <c r="E133">
        <v>0</v>
      </c>
    </row>
    <row r="134" spans="1:5">
      <c r="A134">
        <v>527300.13</v>
      </c>
      <c r="B134">
        <v>70276.28</v>
      </c>
      <c r="C134">
        <v>3043</v>
      </c>
      <c r="D134">
        <v>87.9</v>
      </c>
      <c r="E134">
        <v>0</v>
      </c>
    </row>
    <row r="135" spans="1:5">
      <c r="A135">
        <v>400831.65</v>
      </c>
      <c r="B135">
        <v>22071.64</v>
      </c>
      <c r="C135">
        <v>1814</v>
      </c>
      <c r="D135">
        <v>81.099999999999994</v>
      </c>
      <c r="E135">
        <v>0</v>
      </c>
    </row>
    <row r="136" spans="1:5">
      <c r="A136">
        <v>593247.25</v>
      </c>
      <c r="B136">
        <v>52285.45</v>
      </c>
      <c r="C136">
        <v>3618</v>
      </c>
      <c r="D136">
        <v>95.6</v>
      </c>
      <c r="E136">
        <v>0</v>
      </c>
    </row>
    <row r="137" spans="1:5">
      <c r="A137">
        <v>529075.94999999995</v>
      </c>
      <c r="B137">
        <v>70366.759999999995</v>
      </c>
      <c r="C137">
        <v>1963</v>
      </c>
      <c r="D137">
        <v>89.8</v>
      </c>
      <c r="E137">
        <v>0</v>
      </c>
    </row>
    <row r="138" spans="1:5">
      <c r="A138">
        <v>633638.03</v>
      </c>
      <c r="B138">
        <v>71320.66</v>
      </c>
      <c r="C138">
        <v>7888</v>
      </c>
      <c r="D138">
        <v>78.099999999999994</v>
      </c>
      <c r="E138">
        <v>0</v>
      </c>
    </row>
    <row r="139" spans="1:5">
      <c r="A139">
        <v>743348.84</v>
      </c>
      <c r="B139">
        <v>75109.67</v>
      </c>
      <c r="C139">
        <v>6244</v>
      </c>
      <c r="D139">
        <v>96.3</v>
      </c>
      <c r="E139">
        <v>0</v>
      </c>
    </row>
    <row r="140" spans="1:5">
      <c r="A140">
        <v>758827.64</v>
      </c>
      <c r="B140">
        <v>69779</v>
      </c>
      <c r="C140">
        <v>6544</v>
      </c>
      <c r="D140">
        <v>90.2</v>
      </c>
      <c r="E140">
        <v>0</v>
      </c>
    </row>
    <row r="141" spans="1:5">
      <c r="A141">
        <v>646559.71</v>
      </c>
      <c r="B141">
        <v>44211.95</v>
      </c>
      <c r="C141">
        <v>5465</v>
      </c>
      <c r="D141">
        <v>90</v>
      </c>
      <c r="E141">
        <v>0</v>
      </c>
    </row>
    <row r="142" spans="1:5">
      <c r="A142">
        <v>715890.53</v>
      </c>
      <c r="B142">
        <v>51430.31</v>
      </c>
      <c r="C142">
        <v>6427</v>
      </c>
      <c r="D142">
        <v>88.8</v>
      </c>
      <c r="E142">
        <v>0</v>
      </c>
    </row>
    <row r="143" spans="1:5">
      <c r="A143">
        <v>715097.57</v>
      </c>
      <c r="B143">
        <v>45706.49</v>
      </c>
      <c r="C143">
        <v>6704</v>
      </c>
      <c r="D143">
        <v>94.2</v>
      </c>
      <c r="E143">
        <v>0</v>
      </c>
    </row>
    <row r="144" spans="1:5">
      <c r="A144">
        <v>682639.28</v>
      </c>
      <c r="B144">
        <v>44034.6</v>
      </c>
      <c r="C144">
        <v>5645</v>
      </c>
      <c r="D144">
        <v>88.5</v>
      </c>
      <c r="E144">
        <v>0</v>
      </c>
    </row>
    <row r="145" spans="1:5">
      <c r="A145">
        <v>695098.51</v>
      </c>
      <c r="B145">
        <v>50198.12</v>
      </c>
      <c r="C145">
        <v>6089</v>
      </c>
      <c r="D145">
        <v>94</v>
      </c>
      <c r="E145">
        <v>0</v>
      </c>
    </row>
    <row r="146" spans="1:5">
      <c r="A146">
        <v>577732.56999999995</v>
      </c>
      <c r="B146">
        <v>70488.2</v>
      </c>
      <c r="C146">
        <v>4312</v>
      </c>
      <c r="D146">
        <v>90.2</v>
      </c>
      <c r="E146">
        <v>0</v>
      </c>
    </row>
    <row r="147" spans="1:5">
      <c r="A147">
        <v>537058.32999999996</v>
      </c>
      <c r="B147">
        <v>50909.27</v>
      </c>
      <c r="C147">
        <v>3152</v>
      </c>
      <c r="D147">
        <v>93.7</v>
      </c>
      <c r="E147">
        <v>0</v>
      </c>
    </row>
    <row r="148" spans="1:5">
      <c r="A148">
        <v>601568.87</v>
      </c>
      <c r="B148">
        <v>53351.7</v>
      </c>
      <c r="C148">
        <v>4259</v>
      </c>
      <c r="D148">
        <v>93.7</v>
      </c>
      <c r="E148">
        <v>0</v>
      </c>
    </row>
    <row r="149" spans="1:5">
      <c r="A149">
        <v>570964.84</v>
      </c>
      <c r="B149">
        <v>60322.400000000001</v>
      </c>
      <c r="C149">
        <v>3350</v>
      </c>
      <c r="D149">
        <v>89.4</v>
      </c>
      <c r="E149">
        <v>0</v>
      </c>
    </row>
    <row r="150" spans="1:5">
      <c r="A150">
        <v>614024.91</v>
      </c>
      <c r="B150">
        <v>51575.68</v>
      </c>
      <c r="C150">
        <v>5329</v>
      </c>
      <c r="D150">
        <v>88.1</v>
      </c>
      <c r="E150">
        <v>0</v>
      </c>
    </row>
    <row r="151" spans="1:5">
      <c r="A151">
        <v>712868.35</v>
      </c>
      <c r="B151">
        <v>43319.94</v>
      </c>
      <c r="C151">
        <v>6551</v>
      </c>
      <c r="D151">
        <v>99</v>
      </c>
      <c r="E151">
        <v>0</v>
      </c>
    </row>
    <row r="152" spans="1:5">
      <c r="A152">
        <v>696744.15</v>
      </c>
      <c r="B152">
        <v>47093.55</v>
      </c>
      <c r="C152">
        <v>5550</v>
      </c>
      <c r="D152">
        <v>95</v>
      </c>
      <c r="E152">
        <v>0</v>
      </c>
    </row>
    <row r="153" spans="1:5">
      <c r="A153">
        <v>725847.99</v>
      </c>
      <c r="B153">
        <v>71855.09</v>
      </c>
      <c r="C153">
        <v>5911</v>
      </c>
      <c r="D153">
        <v>94.3</v>
      </c>
      <c r="E153">
        <v>0</v>
      </c>
    </row>
    <row r="154" spans="1:5">
      <c r="A154">
        <v>785028.25</v>
      </c>
      <c r="B154">
        <v>75645.23</v>
      </c>
      <c r="C154">
        <v>9674</v>
      </c>
      <c r="D154">
        <v>87.4</v>
      </c>
      <c r="E154">
        <v>0</v>
      </c>
    </row>
    <row r="155" spans="1:5">
      <c r="A155">
        <v>698492.67</v>
      </c>
      <c r="B155">
        <v>64374.75</v>
      </c>
      <c r="C155">
        <v>6740</v>
      </c>
      <c r="D155">
        <v>87</v>
      </c>
      <c r="E155">
        <v>0</v>
      </c>
    </row>
    <row r="156" spans="1:5">
      <c r="A156">
        <v>685830.24</v>
      </c>
      <c r="B156">
        <v>61433.84</v>
      </c>
      <c r="C156">
        <v>7745</v>
      </c>
      <c r="D156">
        <v>90.5</v>
      </c>
      <c r="E156">
        <v>0</v>
      </c>
    </row>
    <row r="157" spans="1:5">
      <c r="A157">
        <v>702318.94</v>
      </c>
      <c r="B157">
        <v>42698.14</v>
      </c>
      <c r="C157">
        <v>7693</v>
      </c>
      <c r="D157">
        <v>90.1</v>
      </c>
      <c r="E157">
        <v>0</v>
      </c>
    </row>
    <row r="158" spans="1:5">
      <c r="A158">
        <v>700078.32</v>
      </c>
      <c r="B158">
        <v>86883.31</v>
      </c>
      <c r="C158">
        <v>6424</v>
      </c>
      <c r="D158">
        <v>85.2</v>
      </c>
      <c r="E158">
        <v>0</v>
      </c>
    </row>
    <row r="159" spans="1:5">
      <c r="A159">
        <v>602002.31999999995</v>
      </c>
      <c r="B159">
        <v>41863.08</v>
      </c>
      <c r="C159">
        <v>5400</v>
      </c>
      <c r="D159">
        <v>91.6</v>
      </c>
      <c r="E159">
        <v>0</v>
      </c>
    </row>
    <row r="160" spans="1:5">
      <c r="A160">
        <v>724216.07</v>
      </c>
      <c r="B160">
        <v>56918.16</v>
      </c>
      <c r="C160">
        <v>7015</v>
      </c>
      <c r="D160">
        <v>74.2</v>
      </c>
      <c r="E160">
        <v>0</v>
      </c>
    </row>
    <row r="161" spans="1:5">
      <c r="A161">
        <v>620973.03</v>
      </c>
      <c r="B161">
        <v>23254.57</v>
      </c>
      <c r="C161">
        <v>3847</v>
      </c>
      <c r="D161">
        <v>93</v>
      </c>
      <c r="E161">
        <v>0</v>
      </c>
    </row>
    <row r="162" spans="1:5">
      <c r="A162">
        <v>650480.06000000006</v>
      </c>
      <c r="B162">
        <v>41443.410000000003</v>
      </c>
      <c r="C162">
        <v>7455</v>
      </c>
      <c r="D162">
        <v>90.1</v>
      </c>
      <c r="E162">
        <v>0</v>
      </c>
    </row>
    <row r="163" spans="1:5">
      <c r="A163">
        <v>778298.88</v>
      </c>
      <c r="B163">
        <v>48438.85</v>
      </c>
      <c r="C163">
        <v>6992</v>
      </c>
      <c r="D163">
        <v>91</v>
      </c>
      <c r="E163">
        <v>0</v>
      </c>
    </row>
    <row r="164" spans="1:5">
      <c r="A164">
        <v>677096.71</v>
      </c>
      <c r="B164">
        <v>57143.3</v>
      </c>
      <c r="C164">
        <v>8038</v>
      </c>
      <c r="D164">
        <v>72.599999999999994</v>
      </c>
      <c r="E164">
        <v>0</v>
      </c>
    </row>
    <row r="165" spans="1:5">
      <c r="A165">
        <v>692008.64</v>
      </c>
      <c r="B165">
        <v>66870.62</v>
      </c>
      <c r="C165">
        <v>6055</v>
      </c>
      <c r="D165">
        <v>93.8</v>
      </c>
      <c r="E165">
        <v>0</v>
      </c>
    </row>
    <row r="166" spans="1:5">
      <c r="A166">
        <v>825797.91</v>
      </c>
      <c r="B166">
        <v>72150.53</v>
      </c>
      <c r="C166">
        <v>9323</v>
      </c>
      <c r="D166">
        <v>82.9</v>
      </c>
      <c r="E166">
        <v>0</v>
      </c>
    </row>
    <row r="167" spans="1:5">
      <c r="A167">
        <v>706285.52</v>
      </c>
      <c r="B167">
        <v>35303.300000000003</v>
      </c>
      <c r="C167">
        <v>8789</v>
      </c>
      <c r="D167">
        <v>86.1</v>
      </c>
      <c r="E167">
        <v>0</v>
      </c>
    </row>
    <row r="168" spans="1:5">
      <c r="A168">
        <v>665534.69999999995</v>
      </c>
      <c r="B168">
        <v>30301.86</v>
      </c>
      <c r="C168">
        <v>6939</v>
      </c>
      <c r="D168">
        <v>90.3</v>
      </c>
      <c r="E168">
        <v>0</v>
      </c>
    </row>
    <row r="169" spans="1:5">
      <c r="A169">
        <v>820729.29</v>
      </c>
      <c r="B169">
        <v>78432.14</v>
      </c>
      <c r="C169">
        <v>9440</v>
      </c>
      <c r="D169">
        <v>89.2</v>
      </c>
      <c r="E169">
        <v>0</v>
      </c>
    </row>
    <row r="170" spans="1:5">
      <c r="A170">
        <v>739831.73</v>
      </c>
      <c r="B170">
        <v>62059.18</v>
      </c>
      <c r="C170">
        <v>9374</v>
      </c>
      <c r="D170">
        <v>87.1</v>
      </c>
      <c r="E170">
        <v>0</v>
      </c>
    </row>
    <row r="171" spans="1:5">
      <c r="A171">
        <v>593637.14</v>
      </c>
      <c r="B171">
        <v>32834.480000000003</v>
      </c>
      <c r="C171">
        <v>7576</v>
      </c>
      <c r="D171">
        <v>84.1</v>
      </c>
      <c r="E171">
        <v>0</v>
      </c>
    </row>
    <row r="172" spans="1:5">
      <c r="A172">
        <v>769702.76</v>
      </c>
      <c r="B172">
        <v>50825.08</v>
      </c>
      <c r="C172">
        <v>8949</v>
      </c>
      <c r="D172">
        <v>84.7</v>
      </c>
      <c r="E172">
        <v>0</v>
      </c>
    </row>
    <row r="173" spans="1:5">
      <c r="A173">
        <v>679731.57</v>
      </c>
      <c r="B173">
        <v>36606.51</v>
      </c>
      <c r="C173">
        <v>7671</v>
      </c>
      <c r="D173">
        <v>89.8</v>
      </c>
      <c r="E173">
        <v>0</v>
      </c>
    </row>
    <row r="174" spans="1:5">
      <c r="A174">
        <v>780344.18</v>
      </c>
      <c r="B174">
        <v>65237.79</v>
      </c>
      <c r="C174">
        <v>8741</v>
      </c>
      <c r="D174">
        <v>94.4</v>
      </c>
      <c r="E174">
        <v>0</v>
      </c>
    </row>
    <row r="175" spans="1:5">
      <c r="A175">
        <v>721364.11</v>
      </c>
      <c r="B175">
        <v>43645.98</v>
      </c>
      <c r="C175">
        <v>9480</v>
      </c>
      <c r="D175">
        <v>89</v>
      </c>
      <c r="E175">
        <v>0</v>
      </c>
    </row>
    <row r="176" spans="1:5">
      <c r="A176">
        <v>758138.29</v>
      </c>
      <c r="B176">
        <v>68040.149999999994</v>
      </c>
      <c r="C176">
        <v>9826</v>
      </c>
      <c r="D176">
        <v>83.9</v>
      </c>
      <c r="E176">
        <v>0</v>
      </c>
    </row>
    <row r="177" spans="1:5">
      <c r="A177">
        <v>804264</v>
      </c>
      <c r="B177">
        <v>63043.94</v>
      </c>
      <c r="C177">
        <v>10402</v>
      </c>
      <c r="D177">
        <v>93.9</v>
      </c>
      <c r="E177">
        <v>0</v>
      </c>
    </row>
    <row r="178" spans="1:5">
      <c r="A178">
        <v>887537.75</v>
      </c>
      <c r="B178">
        <v>67494.09</v>
      </c>
      <c r="C178">
        <v>12361</v>
      </c>
      <c r="D178">
        <v>76.599999999999994</v>
      </c>
      <c r="E178">
        <v>1</v>
      </c>
    </row>
    <row r="179" spans="1:5">
      <c r="A179">
        <v>783582</v>
      </c>
      <c r="B179">
        <v>29389.32</v>
      </c>
      <c r="C179">
        <v>7925</v>
      </c>
      <c r="D179">
        <v>90.9</v>
      </c>
      <c r="E179">
        <v>1</v>
      </c>
    </row>
    <row r="180" spans="1:5">
      <c r="A180">
        <v>781955.52</v>
      </c>
      <c r="B180">
        <v>40535.089999999997</v>
      </c>
      <c r="C180">
        <v>8870</v>
      </c>
      <c r="D180">
        <v>86.6</v>
      </c>
      <c r="E180">
        <v>1</v>
      </c>
    </row>
    <row r="181" spans="1:5">
      <c r="A181">
        <v>898031.04</v>
      </c>
      <c r="B181">
        <v>74881.56</v>
      </c>
      <c r="C181">
        <v>9999</v>
      </c>
      <c r="D181">
        <v>89.6</v>
      </c>
      <c r="E181">
        <v>1</v>
      </c>
    </row>
    <row r="182" spans="1:5">
      <c r="A182">
        <v>855341.28</v>
      </c>
      <c r="B182">
        <v>68491.11</v>
      </c>
      <c r="C182">
        <v>11154</v>
      </c>
      <c r="D182">
        <v>89.4</v>
      </c>
      <c r="E182">
        <v>0</v>
      </c>
    </row>
    <row r="183" spans="1:5">
      <c r="A183">
        <v>751393.88</v>
      </c>
      <c r="B183">
        <v>45209.25</v>
      </c>
      <c r="C183">
        <v>9287</v>
      </c>
      <c r="D183">
        <v>86.4</v>
      </c>
      <c r="E183">
        <v>0</v>
      </c>
    </row>
    <row r="184" spans="1:5">
      <c r="A184">
        <v>761077.08</v>
      </c>
      <c r="B184">
        <v>63010.23</v>
      </c>
      <c r="C184">
        <v>9812</v>
      </c>
      <c r="D184">
        <v>76.8</v>
      </c>
      <c r="E184">
        <v>0</v>
      </c>
    </row>
    <row r="185" spans="1:5">
      <c r="A185">
        <v>819660.59</v>
      </c>
      <c r="B185">
        <v>57948.88</v>
      </c>
      <c r="C185">
        <v>10741</v>
      </c>
      <c r="D185">
        <v>90.1</v>
      </c>
      <c r="E185">
        <v>0</v>
      </c>
    </row>
    <row r="186" spans="1:5">
      <c r="A186">
        <v>681855.56</v>
      </c>
      <c r="B186">
        <v>71941.62</v>
      </c>
      <c r="C186">
        <v>6084</v>
      </c>
      <c r="D186">
        <v>93.7</v>
      </c>
      <c r="E186">
        <v>0</v>
      </c>
    </row>
    <row r="187" spans="1:5">
      <c r="A187">
        <v>678311.17</v>
      </c>
      <c r="B187">
        <v>57147.88</v>
      </c>
      <c r="C187">
        <v>5252</v>
      </c>
      <c r="D187">
        <v>95.5</v>
      </c>
      <c r="E187">
        <v>0</v>
      </c>
    </row>
    <row r="188" spans="1:5">
      <c r="A188">
        <v>765906.95</v>
      </c>
      <c r="B188">
        <v>48031.74</v>
      </c>
      <c r="C188">
        <v>6516</v>
      </c>
      <c r="D188">
        <v>99</v>
      </c>
      <c r="E188">
        <v>0</v>
      </c>
    </row>
    <row r="189" spans="1:5">
      <c r="A189">
        <v>712546.38</v>
      </c>
      <c r="B189">
        <v>72784.800000000003</v>
      </c>
      <c r="C189">
        <v>7932</v>
      </c>
      <c r="D189">
        <v>74.900000000000006</v>
      </c>
      <c r="E189">
        <v>0</v>
      </c>
    </row>
    <row r="190" spans="1:5">
      <c r="A190">
        <v>625993.82999999996</v>
      </c>
      <c r="B190">
        <v>71641.899999999994</v>
      </c>
      <c r="C190">
        <v>3506</v>
      </c>
      <c r="D190">
        <v>86.4</v>
      </c>
      <c r="E190">
        <v>0</v>
      </c>
    </row>
    <row r="191" spans="1:5">
      <c r="A191">
        <v>550962.93000000005</v>
      </c>
      <c r="B191">
        <v>55788.61</v>
      </c>
      <c r="C191">
        <v>2312</v>
      </c>
      <c r="D191">
        <v>91.3</v>
      </c>
      <c r="E191">
        <v>0</v>
      </c>
    </row>
    <row r="192" spans="1:5">
      <c r="A192">
        <v>443275.59</v>
      </c>
      <c r="B192">
        <v>37705.879999999997</v>
      </c>
      <c r="C192">
        <v>1268</v>
      </c>
      <c r="D192">
        <v>84.1</v>
      </c>
      <c r="E192">
        <v>0</v>
      </c>
    </row>
    <row r="193" spans="1:5">
      <c r="A193">
        <v>554012.06999999995</v>
      </c>
      <c r="B193">
        <v>54966.18</v>
      </c>
      <c r="C193">
        <v>4423</v>
      </c>
      <c r="D193">
        <v>88.7</v>
      </c>
      <c r="E193">
        <v>0</v>
      </c>
    </row>
    <row r="194" spans="1:5">
      <c r="A194">
        <v>643428.85</v>
      </c>
      <c r="B194">
        <v>81796.740000000005</v>
      </c>
      <c r="C194">
        <v>6177</v>
      </c>
      <c r="D194">
        <v>87.9</v>
      </c>
      <c r="E194">
        <v>0</v>
      </c>
    </row>
    <row r="195" spans="1:5">
      <c r="A195">
        <v>611924.27</v>
      </c>
      <c r="B195">
        <v>51133.43</v>
      </c>
      <c r="C195">
        <v>5150</v>
      </c>
      <c r="D195">
        <v>88.5</v>
      </c>
      <c r="E195">
        <v>0</v>
      </c>
    </row>
    <row r="196" spans="1:5">
      <c r="A196">
        <v>559422.02</v>
      </c>
      <c r="B196">
        <v>40220.18</v>
      </c>
      <c r="C196">
        <v>3783</v>
      </c>
      <c r="D196">
        <v>86.6</v>
      </c>
      <c r="E196">
        <v>0</v>
      </c>
    </row>
    <row r="197" spans="1:5">
      <c r="A197">
        <v>449465.06</v>
      </c>
      <c r="B197">
        <v>41657.64</v>
      </c>
      <c r="C197">
        <v>3135</v>
      </c>
      <c r="D197">
        <v>85.4</v>
      </c>
      <c r="E197">
        <v>0</v>
      </c>
    </row>
    <row r="198" spans="1:5">
      <c r="A198">
        <v>691447.43</v>
      </c>
      <c r="B198">
        <v>71851.45</v>
      </c>
      <c r="C198">
        <v>4970</v>
      </c>
      <c r="D198">
        <v>89.6</v>
      </c>
      <c r="E198">
        <v>0</v>
      </c>
    </row>
    <row r="199" spans="1:5">
      <c r="A199">
        <v>574066.61</v>
      </c>
      <c r="B199">
        <v>54002.83</v>
      </c>
      <c r="C199">
        <v>4366</v>
      </c>
      <c r="D199">
        <v>90.6</v>
      </c>
      <c r="E199">
        <v>0</v>
      </c>
    </row>
    <row r="200" spans="1:5">
      <c r="A200">
        <v>578949.84</v>
      </c>
      <c r="B200">
        <v>54479.33</v>
      </c>
      <c r="C200">
        <v>5012</v>
      </c>
      <c r="D200">
        <v>86</v>
      </c>
      <c r="E200">
        <v>0</v>
      </c>
    </row>
    <row r="201" spans="1:5">
      <c r="A201">
        <v>735786.64</v>
      </c>
      <c r="B201">
        <v>61391.8</v>
      </c>
      <c r="C201">
        <v>5575</v>
      </c>
      <c r="D201">
        <v>90</v>
      </c>
      <c r="E201">
        <v>0</v>
      </c>
    </row>
    <row r="202" spans="1:5">
      <c r="A202">
        <v>598904.9</v>
      </c>
      <c r="B202">
        <v>22312.93</v>
      </c>
      <c r="C202">
        <v>5955</v>
      </c>
      <c r="D202">
        <v>84.2</v>
      </c>
      <c r="E202">
        <v>1</v>
      </c>
    </row>
    <row r="203" spans="1:5">
      <c r="A203">
        <v>787715.51</v>
      </c>
      <c r="B203">
        <v>78111.97</v>
      </c>
      <c r="C203">
        <v>6389</v>
      </c>
      <c r="D203">
        <v>83.9</v>
      </c>
      <c r="E203">
        <v>1</v>
      </c>
    </row>
    <row r="204" spans="1:5">
      <c r="A204">
        <v>607084.92000000004</v>
      </c>
      <c r="B204">
        <v>35203.230000000003</v>
      </c>
      <c r="C204">
        <v>6896</v>
      </c>
      <c r="D204">
        <v>80.8</v>
      </c>
      <c r="E204">
        <v>1</v>
      </c>
    </row>
    <row r="205" spans="1:5">
      <c r="A205">
        <v>650795.49</v>
      </c>
      <c r="B205">
        <v>64104.28</v>
      </c>
      <c r="C205">
        <v>6015</v>
      </c>
      <c r="D205">
        <v>88.7</v>
      </c>
      <c r="E205">
        <v>1</v>
      </c>
    </row>
    <row r="206" spans="1:5">
      <c r="A206">
        <v>825060.52</v>
      </c>
      <c r="B206">
        <v>92090.14</v>
      </c>
      <c r="C206">
        <v>9476</v>
      </c>
      <c r="D206">
        <v>94.3</v>
      </c>
      <c r="E206">
        <v>0</v>
      </c>
    </row>
    <row r="207" spans="1:5">
      <c r="A207">
        <v>795464.47</v>
      </c>
      <c r="B207">
        <v>54300.87</v>
      </c>
      <c r="C207">
        <v>7875</v>
      </c>
      <c r="D207">
        <v>94.1</v>
      </c>
      <c r="E207">
        <v>0</v>
      </c>
    </row>
    <row r="208" spans="1:5">
      <c r="A208">
        <v>671868.59</v>
      </c>
      <c r="B208">
        <v>37983.35</v>
      </c>
      <c r="C208">
        <v>9283</v>
      </c>
      <c r="D208">
        <v>83.2</v>
      </c>
      <c r="E208">
        <v>0</v>
      </c>
    </row>
    <row r="209" spans="1:5">
      <c r="A209">
        <v>675917.63</v>
      </c>
      <c r="B209">
        <v>56413.83</v>
      </c>
      <c r="C209">
        <v>8303</v>
      </c>
      <c r="D209">
        <v>93.6</v>
      </c>
      <c r="E209">
        <v>0</v>
      </c>
    </row>
    <row r="210" spans="1:5">
      <c r="A210">
        <v>810446.53</v>
      </c>
      <c r="B210">
        <v>63457.19</v>
      </c>
      <c r="C210">
        <v>10125</v>
      </c>
      <c r="D210">
        <v>87</v>
      </c>
      <c r="E210">
        <v>0</v>
      </c>
    </row>
    <row r="211" spans="1:5">
      <c r="A211">
        <v>691288.19</v>
      </c>
      <c r="B211">
        <v>62949.7</v>
      </c>
      <c r="C211">
        <v>9458</v>
      </c>
      <c r="D211">
        <v>84.9</v>
      </c>
      <c r="E211">
        <v>0</v>
      </c>
    </row>
    <row r="212" spans="1:5">
      <c r="A212">
        <v>946833.54</v>
      </c>
      <c r="B212">
        <v>107970.19</v>
      </c>
      <c r="C212">
        <v>12870</v>
      </c>
      <c r="D212">
        <v>91.7</v>
      </c>
      <c r="E212">
        <v>0</v>
      </c>
    </row>
    <row r="213" spans="1:5">
      <c r="A213">
        <v>761963.23</v>
      </c>
      <c r="B213">
        <v>49405.75</v>
      </c>
      <c r="C213">
        <v>9752</v>
      </c>
      <c r="D213">
        <v>87</v>
      </c>
      <c r="E213">
        <v>0</v>
      </c>
    </row>
    <row r="214" spans="1:5">
      <c r="A214">
        <v>812152.6</v>
      </c>
      <c r="B214">
        <v>50887.46</v>
      </c>
      <c r="C214">
        <v>9505</v>
      </c>
      <c r="D214">
        <v>89.7</v>
      </c>
      <c r="E214">
        <v>0</v>
      </c>
    </row>
    <row r="215" spans="1:5">
      <c r="A215">
        <v>804975.5</v>
      </c>
      <c r="B215">
        <v>41819.449999999997</v>
      </c>
      <c r="C215">
        <v>9412</v>
      </c>
      <c r="D215">
        <v>91</v>
      </c>
      <c r="E215">
        <v>0</v>
      </c>
    </row>
    <row r="216" spans="1:5">
      <c r="A216">
        <v>752321.72</v>
      </c>
      <c r="B216">
        <v>35296.54</v>
      </c>
      <c r="C216">
        <v>9644</v>
      </c>
      <c r="D216">
        <v>88</v>
      </c>
      <c r="E216">
        <v>0</v>
      </c>
    </row>
    <row r="217" spans="1:5">
      <c r="A217">
        <v>836908.24</v>
      </c>
      <c r="B217">
        <v>47391.09</v>
      </c>
      <c r="C217">
        <v>11224</v>
      </c>
      <c r="D217">
        <v>88.4</v>
      </c>
      <c r="E217">
        <v>0</v>
      </c>
    </row>
    <row r="218" spans="1:5">
      <c r="A218">
        <v>674289.1</v>
      </c>
      <c r="B218">
        <v>69180.539999999994</v>
      </c>
      <c r="C218">
        <v>5394</v>
      </c>
      <c r="D218">
        <v>82.9</v>
      </c>
      <c r="E218">
        <v>1</v>
      </c>
    </row>
    <row r="219" spans="1:5">
      <c r="A219">
        <v>622892.42000000004</v>
      </c>
      <c r="B219">
        <v>33987.33</v>
      </c>
      <c r="C219">
        <v>5014</v>
      </c>
      <c r="D219">
        <v>94.3</v>
      </c>
      <c r="E219">
        <v>1</v>
      </c>
    </row>
    <row r="220" spans="1:5">
      <c r="A220">
        <v>673348.56</v>
      </c>
      <c r="B220">
        <v>58785.33</v>
      </c>
      <c r="C220">
        <v>4467</v>
      </c>
      <c r="D220">
        <v>90.7</v>
      </c>
      <c r="E220">
        <v>1</v>
      </c>
    </row>
    <row r="221" spans="1:5">
      <c r="A221">
        <v>606278.30000000005</v>
      </c>
      <c r="B221">
        <v>16451.849999999999</v>
      </c>
      <c r="C221">
        <v>4678</v>
      </c>
      <c r="D221">
        <v>95.9</v>
      </c>
      <c r="E221">
        <v>1</v>
      </c>
    </row>
    <row r="222" spans="1:5">
      <c r="A222">
        <v>712219.81</v>
      </c>
      <c r="B222">
        <v>53367.73</v>
      </c>
      <c r="C222">
        <v>7291</v>
      </c>
      <c r="D222">
        <v>90.6</v>
      </c>
      <c r="E222">
        <v>0</v>
      </c>
    </row>
    <row r="223" spans="1:5">
      <c r="A223">
        <v>672670.54</v>
      </c>
      <c r="B223">
        <v>27194.639999999999</v>
      </c>
      <c r="C223">
        <v>7404</v>
      </c>
      <c r="D223">
        <v>90.2</v>
      </c>
      <c r="E223">
        <v>0</v>
      </c>
    </row>
    <row r="224" spans="1:5">
      <c r="A224">
        <v>732667.92</v>
      </c>
      <c r="B224">
        <v>66962.740000000005</v>
      </c>
      <c r="C224">
        <v>7880</v>
      </c>
      <c r="D224">
        <v>90.4</v>
      </c>
      <c r="E224">
        <v>0</v>
      </c>
    </row>
    <row r="225" spans="1:5">
      <c r="A225">
        <v>723531.4</v>
      </c>
      <c r="B225">
        <v>73540.990000000005</v>
      </c>
      <c r="C225">
        <v>8773</v>
      </c>
      <c r="D225">
        <v>84.4</v>
      </c>
      <c r="E225">
        <v>0</v>
      </c>
    </row>
    <row r="226" spans="1:5">
      <c r="A226">
        <v>641564.6</v>
      </c>
      <c r="B226">
        <v>68212.289999999994</v>
      </c>
      <c r="C226">
        <v>4713</v>
      </c>
      <c r="D226">
        <v>82.6</v>
      </c>
      <c r="E226">
        <v>0</v>
      </c>
    </row>
    <row r="227" spans="1:5">
      <c r="A227">
        <v>536545.49</v>
      </c>
      <c r="B227">
        <v>57225.98</v>
      </c>
      <c r="C227">
        <v>2842</v>
      </c>
      <c r="D227">
        <v>79.5</v>
      </c>
      <c r="E227">
        <v>0</v>
      </c>
    </row>
    <row r="228" spans="1:5">
      <c r="A228">
        <v>527681.56000000006</v>
      </c>
      <c r="B228">
        <v>42932.02</v>
      </c>
      <c r="C228">
        <v>3872</v>
      </c>
      <c r="D228">
        <v>83.2</v>
      </c>
      <c r="E228">
        <v>0</v>
      </c>
    </row>
    <row r="229" spans="1:5">
      <c r="A229">
        <v>529598.93999999994</v>
      </c>
      <c r="B229">
        <v>39341.449999999997</v>
      </c>
      <c r="C229">
        <v>1375</v>
      </c>
      <c r="D229">
        <v>95</v>
      </c>
      <c r="E229">
        <v>0</v>
      </c>
    </row>
    <row r="230" spans="1:5">
      <c r="A230">
        <v>570963.31000000006</v>
      </c>
      <c r="B230">
        <v>37324.230000000003</v>
      </c>
      <c r="C230">
        <v>5957</v>
      </c>
      <c r="D230">
        <v>85.9</v>
      </c>
      <c r="E230">
        <v>0</v>
      </c>
    </row>
    <row r="231" spans="1:5">
      <c r="A231">
        <v>870937.4</v>
      </c>
      <c r="B231">
        <v>113736</v>
      </c>
      <c r="C231">
        <v>8961</v>
      </c>
      <c r="D231">
        <v>86.2</v>
      </c>
      <c r="E231">
        <v>0</v>
      </c>
    </row>
    <row r="232" spans="1:5">
      <c r="A232">
        <v>596969.27</v>
      </c>
      <c r="B232">
        <v>33173.949999999997</v>
      </c>
      <c r="C232">
        <v>6545</v>
      </c>
      <c r="D232">
        <v>84.4</v>
      </c>
      <c r="E232">
        <v>0</v>
      </c>
    </row>
    <row r="233" spans="1:5">
      <c r="A233">
        <v>647512.85</v>
      </c>
      <c r="B233">
        <v>25818.080000000002</v>
      </c>
      <c r="C233">
        <v>5457</v>
      </c>
      <c r="D233">
        <v>95.4</v>
      </c>
      <c r="E233">
        <v>0</v>
      </c>
    </row>
    <row r="234" spans="1:5">
      <c r="A234">
        <v>658072.14</v>
      </c>
      <c r="B234">
        <v>47241.919999999998</v>
      </c>
      <c r="C234">
        <v>4264</v>
      </c>
      <c r="D234">
        <v>95.3</v>
      </c>
      <c r="E234">
        <v>0</v>
      </c>
    </row>
    <row r="235" spans="1:5">
      <c r="A235">
        <v>723305.11</v>
      </c>
      <c r="B235">
        <v>61650.79</v>
      </c>
      <c r="C235">
        <v>5321</v>
      </c>
      <c r="D235">
        <v>89.2</v>
      </c>
      <c r="E235">
        <v>0</v>
      </c>
    </row>
    <row r="236" spans="1:5">
      <c r="A236">
        <v>640666.53</v>
      </c>
      <c r="B236">
        <v>62582.71</v>
      </c>
      <c r="C236">
        <v>5479</v>
      </c>
      <c r="D236">
        <v>81.2</v>
      </c>
      <c r="E236">
        <v>0</v>
      </c>
    </row>
    <row r="237" spans="1:5">
      <c r="A237">
        <v>670629.48</v>
      </c>
      <c r="B237">
        <v>47944.14</v>
      </c>
      <c r="C237">
        <v>6169</v>
      </c>
      <c r="D237">
        <v>92.2</v>
      </c>
      <c r="E237">
        <v>0</v>
      </c>
    </row>
    <row r="238" spans="1:5">
      <c r="A238">
        <v>721079.35</v>
      </c>
      <c r="B238">
        <v>46495.4</v>
      </c>
      <c r="C238">
        <v>9908</v>
      </c>
      <c r="D238">
        <v>89.4</v>
      </c>
      <c r="E238">
        <v>0</v>
      </c>
    </row>
    <row r="239" spans="1:5">
      <c r="A239">
        <v>810355.02</v>
      </c>
      <c r="B239">
        <v>72961.95</v>
      </c>
      <c r="C239">
        <v>9996</v>
      </c>
      <c r="D239">
        <v>89.1</v>
      </c>
      <c r="E239">
        <v>0</v>
      </c>
    </row>
    <row r="240" spans="1:5">
      <c r="A240">
        <v>761919.25</v>
      </c>
      <c r="B240">
        <v>59060.05</v>
      </c>
      <c r="C240">
        <v>9702</v>
      </c>
      <c r="D240">
        <v>80.900000000000006</v>
      </c>
      <c r="E240">
        <v>0</v>
      </c>
    </row>
    <row r="241" spans="1:5">
      <c r="A241">
        <v>737070.18</v>
      </c>
      <c r="B241">
        <v>26248.1</v>
      </c>
      <c r="C241">
        <v>9314</v>
      </c>
      <c r="D241">
        <v>83.7</v>
      </c>
      <c r="E241">
        <v>0</v>
      </c>
    </row>
    <row r="242" spans="1:5">
      <c r="A242">
        <v>776992.93</v>
      </c>
      <c r="B242">
        <v>69900.12</v>
      </c>
      <c r="C242">
        <v>8055</v>
      </c>
      <c r="D242">
        <v>85.6</v>
      </c>
      <c r="E242">
        <v>1</v>
      </c>
    </row>
    <row r="243" spans="1:5">
      <c r="A243">
        <v>676337.41</v>
      </c>
      <c r="B243">
        <v>51781.599999999999</v>
      </c>
      <c r="C243">
        <v>5648</v>
      </c>
      <c r="D243">
        <v>85.5</v>
      </c>
      <c r="E243">
        <v>1</v>
      </c>
    </row>
    <row r="244" spans="1:5">
      <c r="A244">
        <v>828219.67</v>
      </c>
      <c r="B244">
        <v>70799.64</v>
      </c>
      <c r="C244">
        <v>10076</v>
      </c>
      <c r="D244">
        <v>84.8</v>
      </c>
      <c r="E244">
        <v>1</v>
      </c>
    </row>
    <row r="245" spans="1:5">
      <c r="A245">
        <v>763159.92</v>
      </c>
      <c r="B245">
        <v>53546.34</v>
      </c>
      <c r="C245">
        <v>8004</v>
      </c>
      <c r="D245">
        <v>95.2</v>
      </c>
      <c r="E245">
        <v>1</v>
      </c>
    </row>
    <row r="246" spans="1:5">
      <c r="A246">
        <v>802001.68</v>
      </c>
      <c r="B246">
        <v>76942.2</v>
      </c>
      <c r="C246">
        <v>8934</v>
      </c>
      <c r="D246">
        <v>91</v>
      </c>
      <c r="E246">
        <v>0</v>
      </c>
    </row>
    <row r="247" spans="1:5">
      <c r="A247">
        <v>750471.34</v>
      </c>
      <c r="B247">
        <v>48060.78</v>
      </c>
      <c r="C247">
        <v>8733</v>
      </c>
      <c r="D247">
        <v>89.9</v>
      </c>
      <c r="E247">
        <v>0</v>
      </c>
    </row>
    <row r="248" spans="1:5">
      <c r="A248">
        <v>679230.86</v>
      </c>
      <c r="B248">
        <v>57390.04</v>
      </c>
      <c r="C248">
        <v>7374</v>
      </c>
      <c r="D248">
        <v>91.8</v>
      </c>
      <c r="E248">
        <v>0</v>
      </c>
    </row>
    <row r="249" spans="1:5">
      <c r="A249">
        <v>679888.74</v>
      </c>
      <c r="B249">
        <v>21536.18</v>
      </c>
      <c r="C249">
        <v>8119</v>
      </c>
      <c r="D249">
        <v>90.4</v>
      </c>
      <c r="E249">
        <v>0</v>
      </c>
    </row>
    <row r="250" spans="1:5">
      <c r="A250">
        <v>606783.67000000004</v>
      </c>
      <c r="B250">
        <v>40923.67</v>
      </c>
      <c r="C250">
        <v>3875</v>
      </c>
      <c r="D250">
        <v>96.1</v>
      </c>
      <c r="E250">
        <v>0</v>
      </c>
    </row>
    <row r="251" spans="1:5">
      <c r="A251">
        <v>642751.42000000004</v>
      </c>
      <c r="B251">
        <v>72932.55</v>
      </c>
      <c r="C251">
        <v>5765</v>
      </c>
      <c r="D251">
        <v>81.8</v>
      </c>
      <c r="E251">
        <v>0</v>
      </c>
    </row>
    <row r="252" spans="1:5">
      <c r="A252">
        <v>647953.78</v>
      </c>
      <c r="B252">
        <v>38361.93</v>
      </c>
      <c r="C252">
        <v>6322</v>
      </c>
      <c r="D252">
        <v>88.4</v>
      </c>
      <c r="E252">
        <v>0</v>
      </c>
    </row>
    <row r="253" spans="1:5">
      <c r="A253">
        <v>729440.45</v>
      </c>
      <c r="B253">
        <v>97480.94</v>
      </c>
      <c r="C253">
        <v>6840</v>
      </c>
      <c r="D253">
        <v>79.2</v>
      </c>
      <c r="E253">
        <v>0</v>
      </c>
    </row>
    <row r="254" spans="1:5">
      <c r="A254">
        <v>764949</v>
      </c>
      <c r="B254">
        <v>81801.8</v>
      </c>
      <c r="C254">
        <v>6782</v>
      </c>
      <c r="D254">
        <v>99</v>
      </c>
      <c r="E254">
        <v>1</v>
      </c>
    </row>
    <row r="255" spans="1:5">
      <c r="A255">
        <v>799046.94</v>
      </c>
      <c r="B255">
        <v>63582.11</v>
      </c>
      <c r="C255">
        <v>6856</v>
      </c>
      <c r="D255">
        <v>89.5</v>
      </c>
      <c r="E255">
        <v>1</v>
      </c>
    </row>
    <row r="256" spans="1:5">
      <c r="A256">
        <v>720079.54</v>
      </c>
      <c r="B256">
        <v>75412.740000000005</v>
      </c>
      <c r="C256">
        <v>5641</v>
      </c>
      <c r="D256">
        <v>87.9</v>
      </c>
      <c r="E256">
        <v>1</v>
      </c>
    </row>
    <row r="257" spans="1:5">
      <c r="A257">
        <v>612390.14</v>
      </c>
      <c r="B257">
        <v>36290.080000000002</v>
      </c>
      <c r="C257">
        <v>5787</v>
      </c>
      <c r="D257">
        <v>88.3</v>
      </c>
      <c r="E257">
        <v>1</v>
      </c>
    </row>
    <row r="258" spans="1:5">
      <c r="A258">
        <v>840108.12</v>
      </c>
      <c r="B258">
        <v>65272.58</v>
      </c>
      <c r="C258">
        <v>8165</v>
      </c>
      <c r="D258">
        <v>87.8</v>
      </c>
      <c r="E258">
        <v>0</v>
      </c>
    </row>
    <row r="259" spans="1:5">
      <c r="A259">
        <v>697888.09</v>
      </c>
      <c r="B259">
        <v>28670.43</v>
      </c>
      <c r="C259">
        <v>7574</v>
      </c>
      <c r="D259">
        <v>82.7</v>
      </c>
      <c r="E259">
        <v>0</v>
      </c>
    </row>
    <row r="260" spans="1:5">
      <c r="A260">
        <v>746115.59</v>
      </c>
      <c r="B260">
        <v>44189.34</v>
      </c>
      <c r="C260">
        <v>8634</v>
      </c>
      <c r="D260">
        <v>87.5</v>
      </c>
      <c r="E260">
        <v>0</v>
      </c>
    </row>
    <row r="261" spans="1:5">
      <c r="A261">
        <v>776110.32</v>
      </c>
      <c r="B261">
        <v>38397.82</v>
      </c>
      <c r="C261">
        <v>7836</v>
      </c>
      <c r="D261">
        <v>92.2</v>
      </c>
      <c r="E261">
        <v>0</v>
      </c>
    </row>
    <row r="262" spans="1:5">
      <c r="A262">
        <v>528852.62</v>
      </c>
      <c r="B262">
        <v>14519.37</v>
      </c>
      <c r="C262">
        <v>3047</v>
      </c>
      <c r="D262">
        <v>90.3</v>
      </c>
      <c r="E262">
        <v>0</v>
      </c>
    </row>
    <row r="263" spans="1:5">
      <c r="A263">
        <v>605751.32999999996</v>
      </c>
      <c r="B263">
        <v>43288.2</v>
      </c>
      <c r="C263">
        <v>4783</v>
      </c>
      <c r="D263">
        <v>87.3</v>
      </c>
      <c r="E263">
        <v>0</v>
      </c>
    </row>
    <row r="264" spans="1:5">
      <c r="A264">
        <v>677640.65</v>
      </c>
      <c r="B264">
        <v>51450.55</v>
      </c>
      <c r="C264">
        <v>4902</v>
      </c>
      <c r="D264">
        <v>83.7</v>
      </c>
      <c r="E264">
        <v>0</v>
      </c>
    </row>
    <row r="265" spans="1:5">
      <c r="A265">
        <v>636613.23</v>
      </c>
      <c r="B265">
        <v>58688.26</v>
      </c>
      <c r="C265">
        <v>4022</v>
      </c>
      <c r="D265">
        <v>93.8</v>
      </c>
      <c r="E265">
        <v>0</v>
      </c>
    </row>
    <row r="266" spans="1:5">
      <c r="A266">
        <v>708985.19</v>
      </c>
      <c r="B266">
        <v>58981.91</v>
      </c>
      <c r="C266">
        <v>7324</v>
      </c>
      <c r="D266">
        <v>95.8</v>
      </c>
      <c r="E266">
        <v>0</v>
      </c>
    </row>
    <row r="267" spans="1:5">
      <c r="A267">
        <v>767792.94</v>
      </c>
      <c r="B267">
        <v>73454.539999999994</v>
      </c>
      <c r="C267">
        <v>8129</v>
      </c>
      <c r="D267">
        <v>85.2</v>
      </c>
      <c r="E267">
        <v>0</v>
      </c>
    </row>
    <row r="268" spans="1:5">
      <c r="A268">
        <v>745580.51</v>
      </c>
      <c r="B268">
        <v>56602.39</v>
      </c>
      <c r="C268">
        <v>7969</v>
      </c>
      <c r="D268">
        <v>88.3</v>
      </c>
      <c r="E268">
        <v>0</v>
      </c>
    </row>
    <row r="269" spans="1:5">
      <c r="A269">
        <v>762328.31</v>
      </c>
      <c r="B269">
        <v>67722.289999999994</v>
      </c>
      <c r="C269">
        <v>7240</v>
      </c>
      <c r="D269">
        <v>92.9</v>
      </c>
      <c r="E269">
        <v>0</v>
      </c>
    </row>
    <row r="270" spans="1:5">
      <c r="A270">
        <v>660633.99</v>
      </c>
      <c r="B270">
        <v>48752.92</v>
      </c>
      <c r="C270">
        <v>8052</v>
      </c>
      <c r="D270">
        <v>94.9</v>
      </c>
      <c r="E270">
        <v>0</v>
      </c>
    </row>
    <row r="271" spans="1:5">
      <c r="A271">
        <v>739374.56</v>
      </c>
      <c r="B271">
        <v>23914.97</v>
      </c>
      <c r="C271">
        <v>8018</v>
      </c>
      <c r="D271">
        <v>89</v>
      </c>
      <c r="E271">
        <v>0</v>
      </c>
    </row>
    <row r="272" spans="1:5">
      <c r="A272">
        <v>799756.46</v>
      </c>
      <c r="B272">
        <v>61995.3</v>
      </c>
      <c r="C272">
        <v>10192</v>
      </c>
      <c r="D272">
        <v>87.6</v>
      </c>
      <c r="E272">
        <v>0</v>
      </c>
    </row>
    <row r="273" spans="1:5">
      <c r="A273">
        <v>593343</v>
      </c>
      <c r="B273">
        <v>29344.93</v>
      </c>
      <c r="C273">
        <v>7446</v>
      </c>
      <c r="D273">
        <v>86.2</v>
      </c>
      <c r="E273">
        <v>0</v>
      </c>
    </row>
    <row r="274" spans="1:5">
      <c r="A274">
        <v>645039.97</v>
      </c>
      <c r="B274">
        <v>50532.17</v>
      </c>
      <c r="C274">
        <v>5689</v>
      </c>
      <c r="D274">
        <v>85.6</v>
      </c>
      <c r="E274">
        <v>0</v>
      </c>
    </row>
    <row r="275" spans="1:5">
      <c r="A275">
        <v>561597.32999999996</v>
      </c>
      <c r="B275">
        <v>17562.57</v>
      </c>
      <c r="C275">
        <v>3326</v>
      </c>
      <c r="D275">
        <v>88.1</v>
      </c>
      <c r="E275">
        <v>0</v>
      </c>
    </row>
    <row r="276" spans="1:5">
      <c r="A276">
        <v>635837.74</v>
      </c>
      <c r="B276">
        <v>47648.71</v>
      </c>
      <c r="C276">
        <v>5767</v>
      </c>
      <c r="D276">
        <v>89.8</v>
      </c>
      <c r="E276">
        <v>0</v>
      </c>
    </row>
    <row r="277" spans="1:5">
      <c r="A277">
        <v>686737.87</v>
      </c>
      <c r="B277">
        <v>38297.58</v>
      </c>
      <c r="C277">
        <v>5893</v>
      </c>
      <c r="D277">
        <v>77.599999999999994</v>
      </c>
      <c r="E277">
        <v>0</v>
      </c>
    </row>
    <row r="278" spans="1:5">
      <c r="A278">
        <v>673076.34</v>
      </c>
      <c r="B278">
        <v>61784.11</v>
      </c>
      <c r="C278">
        <v>8564</v>
      </c>
      <c r="D278">
        <v>87.4</v>
      </c>
      <c r="E278">
        <v>0</v>
      </c>
    </row>
    <row r="279" spans="1:5">
      <c r="A279">
        <v>738548.42</v>
      </c>
      <c r="B279">
        <v>36832.33</v>
      </c>
      <c r="C279">
        <v>8001</v>
      </c>
      <c r="D279">
        <v>88.7</v>
      </c>
      <c r="E279">
        <v>0</v>
      </c>
    </row>
    <row r="280" spans="1:5">
      <c r="A280">
        <v>756619.77</v>
      </c>
      <c r="B280">
        <v>48609.41</v>
      </c>
      <c r="C280">
        <v>9324</v>
      </c>
      <c r="D280">
        <v>86.5</v>
      </c>
      <c r="E280">
        <v>0</v>
      </c>
    </row>
    <row r="281" spans="1:5">
      <c r="A281">
        <v>761122.42</v>
      </c>
      <c r="B281">
        <v>70284.06</v>
      </c>
      <c r="C281">
        <v>9109</v>
      </c>
      <c r="D281">
        <v>87</v>
      </c>
      <c r="E281">
        <v>0</v>
      </c>
    </row>
    <row r="282" spans="1:5">
      <c r="A282">
        <v>524899.56999999995</v>
      </c>
      <c r="B282">
        <v>45940.39</v>
      </c>
      <c r="C282">
        <v>4022</v>
      </c>
      <c r="D282">
        <v>83</v>
      </c>
      <c r="E282">
        <v>0</v>
      </c>
    </row>
    <row r="283" spans="1:5">
      <c r="A283">
        <v>555557.77</v>
      </c>
      <c r="B283">
        <v>34771.26</v>
      </c>
      <c r="C283">
        <v>4355</v>
      </c>
      <c r="D283">
        <v>87.9</v>
      </c>
      <c r="E283">
        <v>0</v>
      </c>
    </row>
    <row r="284" spans="1:5">
      <c r="A284">
        <v>714083.68</v>
      </c>
      <c r="B284">
        <v>66104.19</v>
      </c>
      <c r="C284">
        <v>5745</v>
      </c>
      <c r="D284">
        <v>95.8</v>
      </c>
      <c r="E284">
        <v>0</v>
      </c>
    </row>
    <row r="285" spans="1:5">
      <c r="A285">
        <v>497439.82</v>
      </c>
      <c r="B285">
        <v>18599.21</v>
      </c>
      <c r="C285">
        <v>3027</v>
      </c>
      <c r="D285">
        <v>80.900000000000006</v>
      </c>
      <c r="E285">
        <v>0</v>
      </c>
    </row>
    <row r="286" spans="1:5">
      <c r="A286">
        <v>636775.66</v>
      </c>
      <c r="B286">
        <v>60183.06</v>
      </c>
      <c r="C286">
        <v>5562</v>
      </c>
      <c r="D286">
        <v>86.3</v>
      </c>
      <c r="E286">
        <v>0</v>
      </c>
    </row>
    <row r="287" spans="1:5">
      <c r="A287">
        <v>633009.53</v>
      </c>
      <c r="B287">
        <v>74539.14</v>
      </c>
      <c r="C287">
        <v>4487</v>
      </c>
      <c r="D287">
        <v>90.4</v>
      </c>
      <c r="E287">
        <v>0</v>
      </c>
    </row>
    <row r="288" spans="1:5">
      <c r="A288">
        <v>609949</v>
      </c>
      <c r="B288">
        <v>55371.97</v>
      </c>
      <c r="C288">
        <v>4162</v>
      </c>
      <c r="D288">
        <v>92</v>
      </c>
      <c r="E288">
        <v>0</v>
      </c>
    </row>
    <row r="289" spans="1:5">
      <c r="A289">
        <v>548103.69999999995</v>
      </c>
      <c r="B289">
        <v>40928.69</v>
      </c>
      <c r="C289">
        <v>4094</v>
      </c>
      <c r="D289">
        <v>82.4</v>
      </c>
      <c r="E289">
        <v>0</v>
      </c>
    </row>
    <row r="290" spans="1:5">
      <c r="A290">
        <v>729424.42</v>
      </c>
      <c r="B290">
        <v>70012.41</v>
      </c>
      <c r="C290">
        <v>8484</v>
      </c>
      <c r="D290">
        <v>72.900000000000006</v>
      </c>
      <c r="E290">
        <v>0</v>
      </c>
    </row>
    <row r="291" spans="1:5">
      <c r="A291">
        <v>696261.49</v>
      </c>
      <c r="B291">
        <v>68909.259999999995</v>
      </c>
      <c r="C291">
        <v>7794</v>
      </c>
      <c r="D291">
        <v>89</v>
      </c>
      <c r="E291">
        <v>0</v>
      </c>
    </row>
    <row r="292" spans="1:5">
      <c r="A292">
        <v>813316.71</v>
      </c>
      <c r="B292">
        <v>56737.3</v>
      </c>
      <c r="C292">
        <v>8300</v>
      </c>
      <c r="D292">
        <v>83.2</v>
      </c>
      <c r="E292">
        <v>0</v>
      </c>
    </row>
    <row r="293" spans="1:5">
      <c r="A293">
        <v>702068.92</v>
      </c>
      <c r="B293">
        <v>54080.91</v>
      </c>
      <c r="C293">
        <v>7083</v>
      </c>
      <c r="D293">
        <v>97</v>
      </c>
      <c r="E293">
        <v>0</v>
      </c>
    </row>
    <row r="294" spans="1:5">
      <c r="A294">
        <v>546223.69999999995</v>
      </c>
      <c r="B294">
        <v>51996.32</v>
      </c>
      <c r="C294">
        <v>3834</v>
      </c>
      <c r="D294">
        <v>86.7</v>
      </c>
      <c r="E294">
        <v>0</v>
      </c>
    </row>
    <row r="295" spans="1:5">
      <c r="A295">
        <v>533121.26</v>
      </c>
      <c r="B295">
        <v>40102.879999999997</v>
      </c>
      <c r="C295">
        <v>2358</v>
      </c>
      <c r="D295">
        <v>88.7</v>
      </c>
      <c r="E295">
        <v>0</v>
      </c>
    </row>
    <row r="296" spans="1:5">
      <c r="A296">
        <v>498970.32</v>
      </c>
      <c r="B296">
        <v>59825.51</v>
      </c>
      <c r="C296">
        <v>1231</v>
      </c>
      <c r="D296">
        <v>84.8</v>
      </c>
      <c r="E296">
        <v>0</v>
      </c>
    </row>
    <row r="297" spans="1:5">
      <c r="A297">
        <v>487738.26</v>
      </c>
      <c r="B297">
        <v>27398.28</v>
      </c>
      <c r="C297">
        <v>1723</v>
      </c>
      <c r="D297">
        <v>81</v>
      </c>
      <c r="E297">
        <v>0</v>
      </c>
    </row>
    <row r="298" spans="1:5">
      <c r="A298">
        <v>668459.37</v>
      </c>
      <c r="B298">
        <v>55599.56</v>
      </c>
      <c r="C298">
        <v>5896</v>
      </c>
      <c r="D298">
        <v>93.1</v>
      </c>
      <c r="E298">
        <v>0</v>
      </c>
    </row>
    <row r="299" spans="1:5">
      <c r="A299">
        <v>763162.45</v>
      </c>
      <c r="B299">
        <v>55477.61</v>
      </c>
      <c r="C299">
        <v>5903</v>
      </c>
      <c r="D299">
        <v>96.2</v>
      </c>
      <c r="E299">
        <v>0</v>
      </c>
    </row>
    <row r="300" spans="1:5">
      <c r="A300">
        <v>599017.32999999996</v>
      </c>
      <c r="B300">
        <v>46174.7</v>
      </c>
      <c r="C300">
        <v>4898</v>
      </c>
      <c r="D300">
        <v>91.7</v>
      </c>
      <c r="E300">
        <v>0</v>
      </c>
    </row>
    <row r="301" spans="1:5">
      <c r="A301">
        <v>401582.58</v>
      </c>
      <c r="B301">
        <v>24362.98</v>
      </c>
      <c r="C301">
        <v>1462</v>
      </c>
      <c r="D301">
        <v>89.3</v>
      </c>
      <c r="E301">
        <v>0</v>
      </c>
    </row>
    <row r="302" spans="1:5">
      <c r="A302">
        <v>703812.99</v>
      </c>
      <c r="B302">
        <v>40647.67</v>
      </c>
      <c r="C302">
        <v>8252</v>
      </c>
      <c r="D302">
        <v>88.2</v>
      </c>
      <c r="E302">
        <v>0</v>
      </c>
    </row>
    <row r="303" spans="1:5">
      <c r="A303">
        <v>724346.73</v>
      </c>
      <c r="B303">
        <v>63986.98</v>
      </c>
      <c r="C303">
        <v>7989</v>
      </c>
      <c r="D303">
        <v>83.3</v>
      </c>
      <c r="E303">
        <v>0</v>
      </c>
    </row>
    <row r="304" spans="1:5">
      <c r="A304">
        <v>730890.01</v>
      </c>
      <c r="B304">
        <v>52843.75</v>
      </c>
      <c r="C304">
        <v>8268</v>
      </c>
      <c r="D304">
        <v>87.3</v>
      </c>
      <c r="E304">
        <v>0</v>
      </c>
    </row>
    <row r="305" spans="1:5">
      <c r="A305">
        <v>780580.95</v>
      </c>
      <c r="B305">
        <v>31997.25</v>
      </c>
      <c r="C305">
        <v>8183</v>
      </c>
      <c r="D305">
        <v>93</v>
      </c>
      <c r="E305">
        <v>0</v>
      </c>
    </row>
    <row r="306" spans="1:5">
      <c r="A306">
        <v>727957.48</v>
      </c>
      <c r="B306">
        <v>54948.02</v>
      </c>
      <c r="C306">
        <v>6534</v>
      </c>
      <c r="D306">
        <v>94.5</v>
      </c>
      <c r="E306">
        <v>0</v>
      </c>
    </row>
    <row r="307" spans="1:5">
      <c r="A307">
        <v>538376</v>
      </c>
      <c r="B307">
        <v>46146.239999999998</v>
      </c>
      <c r="C307">
        <v>5804</v>
      </c>
      <c r="D307">
        <v>86.9</v>
      </c>
      <c r="E307">
        <v>0</v>
      </c>
    </row>
    <row r="308" spans="1:5">
      <c r="A308">
        <v>665342.49</v>
      </c>
      <c r="B308">
        <v>22387.26</v>
      </c>
      <c r="C308">
        <v>6301</v>
      </c>
      <c r="D308">
        <v>85.9</v>
      </c>
      <c r="E308">
        <v>0</v>
      </c>
    </row>
    <row r="309" spans="1:5">
      <c r="A309">
        <v>651164.18000000005</v>
      </c>
      <c r="B309">
        <v>60684.05</v>
      </c>
      <c r="C309">
        <v>6399</v>
      </c>
      <c r="D309">
        <v>99</v>
      </c>
      <c r="E309">
        <v>0</v>
      </c>
    </row>
    <row r="310" spans="1:5">
      <c r="A310">
        <v>628538.30000000005</v>
      </c>
      <c r="B310">
        <v>48465.599999999999</v>
      </c>
      <c r="C310">
        <v>5759</v>
      </c>
      <c r="D310">
        <v>87.5</v>
      </c>
      <c r="E310">
        <v>0</v>
      </c>
    </row>
    <row r="311" spans="1:5">
      <c r="A311">
        <v>536524.84</v>
      </c>
      <c r="B311">
        <v>23702.38</v>
      </c>
      <c r="C311">
        <v>5285</v>
      </c>
      <c r="D311">
        <v>79.7</v>
      </c>
      <c r="E311">
        <v>0</v>
      </c>
    </row>
    <row r="312" spans="1:5">
      <c r="A312">
        <v>621677.30000000005</v>
      </c>
      <c r="B312">
        <v>54322.94</v>
      </c>
      <c r="C312">
        <v>5434</v>
      </c>
      <c r="D312">
        <v>85.7</v>
      </c>
      <c r="E312">
        <v>0</v>
      </c>
    </row>
    <row r="313" spans="1:5">
      <c r="A313">
        <v>771129.07</v>
      </c>
      <c r="B313">
        <v>86026.58</v>
      </c>
      <c r="C313">
        <v>7479</v>
      </c>
      <c r="D313">
        <v>89</v>
      </c>
      <c r="E313">
        <v>0</v>
      </c>
    </row>
    <row r="314" spans="1:5">
      <c r="A314">
        <v>702052.47</v>
      </c>
      <c r="B314">
        <v>78967.520000000004</v>
      </c>
      <c r="C314">
        <v>6164</v>
      </c>
      <c r="D314">
        <v>85.5</v>
      </c>
      <c r="E314">
        <v>0</v>
      </c>
    </row>
    <row r="315" spans="1:5">
      <c r="A315">
        <v>688368.46</v>
      </c>
      <c r="B315">
        <v>46767.99</v>
      </c>
      <c r="C315">
        <v>7973</v>
      </c>
      <c r="D315">
        <v>94.8</v>
      </c>
      <c r="E315">
        <v>0</v>
      </c>
    </row>
    <row r="316" spans="1:5">
      <c r="A316">
        <v>712375.77</v>
      </c>
      <c r="B316">
        <v>62507.16</v>
      </c>
      <c r="C316">
        <v>6000</v>
      </c>
      <c r="D316">
        <v>98.2</v>
      </c>
      <c r="E316">
        <v>0</v>
      </c>
    </row>
    <row r="317" spans="1:5">
      <c r="A317">
        <v>844710.67</v>
      </c>
      <c r="B317">
        <v>66456.28</v>
      </c>
      <c r="C317">
        <v>9967</v>
      </c>
      <c r="D317">
        <v>94.7</v>
      </c>
      <c r="E317">
        <v>0</v>
      </c>
    </row>
    <row r="318" spans="1:5">
      <c r="A318">
        <v>620264.19999999995</v>
      </c>
      <c r="B318">
        <v>76614.320000000007</v>
      </c>
      <c r="C318">
        <v>5639</v>
      </c>
      <c r="D318">
        <v>92.9</v>
      </c>
      <c r="E318">
        <v>0</v>
      </c>
    </row>
    <row r="319" spans="1:5">
      <c r="A319">
        <v>536845.42000000004</v>
      </c>
      <c r="B319">
        <v>24088.06</v>
      </c>
      <c r="C319">
        <v>3466</v>
      </c>
      <c r="D319">
        <v>88</v>
      </c>
      <c r="E319">
        <v>0</v>
      </c>
    </row>
    <row r="320" spans="1:5">
      <c r="A320">
        <v>726776.22</v>
      </c>
      <c r="B320">
        <v>81902.58</v>
      </c>
      <c r="C320">
        <v>7775</v>
      </c>
      <c r="D320">
        <v>85.2</v>
      </c>
      <c r="E320">
        <v>0</v>
      </c>
    </row>
    <row r="321" spans="1:5">
      <c r="A321">
        <v>559660.84</v>
      </c>
      <c r="B321">
        <v>40553.11</v>
      </c>
      <c r="C321">
        <v>5317</v>
      </c>
      <c r="D321">
        <v>84.3</v>
      </c>
      <c r="E3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67C5-C866-441A-A580-D6229A5C4A05}">
  <dimension ref="A1:G321"/>
  <sheetViews>
    <sheetView zoomScale="90" zoomScaleNormal="90" workbookViewId="0">
      <selection activeCell="J6" sqref="J6"/>
    </sheetView>
  </sheetViews>
  <sheetFormatPr defaultRowHeight="14.5"/>
  <cols>
    <col min="6" max="6" width="17.6328125" customWidth="1"/>
    <col min="7" max="7" width="12.7265625" customWidth="1"/>
  </cols>
  <sheetData>
    <row r="1" spans="1:7" ht="56">
      <c r="A1" s="1" t="s">
        <v>16</v>
      </c>
      <c r="B1" s="1" t="s">
        <v>8</v>
      </c>
      <c r="C1" s="1" t="s">
        <v>9</v>
      </c>
      <c r="D1" s="1" t="s">
        <v>12</v>
      </c>
      <c r="E1" s="1" t="s">
        <v>106</v>
      </c>
      <c r="F1" s="1" t="s">
        <v>133</v>
      </c>
      <c r="G1" s="1" t="s">
        <v>118</v>
      </c>
    </row>
    <row r="2" spans="1:7">
      <c r="A2">
        <v>713611.16</v>
      </c>
      <c r="B2">
        <v>52758.01</v>
      </c>
      <c r="C2">
        <v>4063</v>
      </c>
      <c r="D2">
        <v>91.7</v>
      </c>
      <c r="E2">
        <v>0</v>
      </c>
      <c r="F2" s="7">
        <f>129781+(1.179*B2)+(33.5281*C2)+(2969.11*D2)+(25645.7*E2)</f>
        <v>600474.75109000003</v>
      </c>
      <c r="G2" s="7">
        <f>A2-F2</f>
        <v>113136.40891</v>
      </c>
    </row>
    <row r="3" spans="1:7">
      <c r="A3">
        <v>625514.04</v>
      </c>
      <c r="B3">
        <v>32266.639999999999</v>
      </c>
      <c r="C3">
        <v>2414</v>
      </c>
      <c r="D3">
        <v>92.1</v>
      </c>
      <c r="E3">
        <v>0</v>
      </c>
      <c r="F3" s="7">
        <f>129781+(1.179*B3)+(33.5281*C3)+(2969.11*D3)+(25645.7*E3)</f>
        <v>522215.23296000005</v>
      </c>
      <c r="G3" s="7">
        <f>A3-F3</f>
        <v>103298.80703999999</v>
      </c>
    </row>
    <row r="4" spans="1:7">
      <c r="A4">
        <v>914544.17</v>
      </c>
      <c r="B4">
        <v>61541.21</v>
      </c>
      <c r="C4">
        <v>10396</v>
      </c>
      <c r="D4">
        <v>88.1</v>
      </c>
      <c r="E4">
        <v>0</v>
      </c>
      <c r="F4" s="7">
        <f>129781+(1.179*B4)+(33.5281*C4)+(2969.11*D4)+(25645.7*E4)</f>
        <v>812474.80518999998</v>
      </c>
      <c r="G4" s="7">
        <f>A4-F4</f>
        <v>102069.36481000006</v>
      </c>
    </row>
    <row r="5" spans="1:7">
      <c r="A5">
        <v>840108.12</v>
      </c>
      <c r="B5">
        <v>65272.58</v>
      </c>
      <c r="C5">
        <v>8165</v>
      </c>
      <c r="D5">
        <v>87.8</v>
      </c>
      <c r="E5">
        <v>0</v>
      </c>
      <c r="F5" s="7">
        <f>129781+(1.179*B5)+(33.5281*C5)+(2969.11*D5)+(25645.7*E5)</f>
        <v>741182.16632000008</v>
      </c>
      <c r="G5" s="7">
        <f>A5-F5</f>
        <v>98925.953679999919</v>
      </c>
    </row>
    <row r="6" spans="1:7">
      <c r="A6">
        <v>727241.86</v>
      </c>
      <c r="B6">
        <v>72731.14</v>
      </c>
      <c r="C6">
        <v>4644</v>
      </c>
      <c r="D6">
        <v>87.1</v>
      </c>
      <c r="E6">
        <v>0</v>
      </c>
      <c r="F6" s="7">
        <f>129781+(1.179*B6)+(33.5281*C6)+(2969.11*D6)+(25645.7*E6)</f>
        <v>629844.99146000005</v>
      </c>
      <c r="G6" s="7">
        <f>A6-F6</f>
        <v>97396.868539999938</v>
      </c>
    </row>
    <row r="7" spans="1:7">
      <c r="A7">
        <v>813316.71</v>
      </c>
      <c r="B7">
        <v>56737.3</v>
      </c>
      <c r="C7">
        <v>8300</v>
      </c>
      <c r="D7">
        <v>83.2</v>
      </c>
      <c r="E7">
        <v>0</v>
      </c>
      <c r="F7" s="7">
        <f>129781+(1.179*B7)+(33.5281*C7)+(2969.11*D7)+(25645.7*E7)</f>
        <v>721987.45870000008</v>
      </c>
      <c r="G7" s="7">
        <f>A7-F7</f>
        <v>91329.251299999887</v>
      </c>
    </row>
    <row r="8" spans="1:7">
      <c r="A8">
        <v>820519.04</v>
      </c>
      <c r="B8">
        <v>57360.01</v>
      </c>
      <c r="C8">
        <v>8434</v>
      </c>
      <c r="D8">
        <v>84.1</v>
      </c>
      <c r="E8">
        <v>0</v>
      </c>
      <c r="F8" s="7">
        <f>129781+(1.179*B8)+(33.5281*C8)+(2969.11*D8)+(25645.7*E8)</f>
        <v>729886.59819000005</v>
      </c>
      <c r="G8" s="7">
        <f>A8-F8</f>
        <v>90632.441809999989</v>
      </c>
    </row>
    <row r="9" spans="1:7">
      <c r="A9">
        <v>778298.88</v>
      </c>
      <c r="B9">
        <v>48438.85</v>
      </c>
      <c r="C9">
        <v>6992</v>
      </c>
      <c r="D9">
        <v>91</v>
      </c>
      <c r="E9">
        <v>0</v>
      </c>
      <c r="F9" s="7">
        <f>129781+(1.179*B9)+(33.5281*C9)+(2969.11*D9)+(25645.7*E9)</f>
        <v>691507.88935000007</v>
      </c>
      <c r="G9" s="7">
        <f>A9-F9</f>
        <v>86790.990649999934</v>
      </c>
    </row>
    <row r="10" spans="1:7">
      <c r="A10">
        <v>735509.4</v>
      </c>
      <c r="B10">
        <v>78839.39</v>
      </c>
      <c r="C10">
        <v>5150</v>
      </c>
      <c r="D10">
        <v>85.8</v>
      </c>
      <c r="E10">
        <v>0</v>
      </c>
      <c r="F10" s="7">
        <f>129781+(1.179*B10)+(33.5281*C10)+(2969.11*D10)+(25645.7*E10)</f>
        <v>650151.99381000001</v>
      </c>
      <c r="G10" s="7">
        <f>A10-F10</f>
        <v>85357.406190000009</v>
      </c>
    </row>
    <row r="11" spans="1:7">
      <c r="A11">
        <v>763162.45</v>
      </c>
      <c r="B11">
        <v>55477.61</v>
      </c>
      <c r="C11">
        <v>5903</v>
      </c>
      <c r="D11">
        <v>96.2</v>
      </c>
      <c r="E11">
        <v>0</v>
      </c>
      <c r="F11" s="7">
        <f>129781+(1.179*B11)+(33.5281*C11)+(2969.11*D11)+(25645.7*E11)</f>
        <v>678733.85849000001</v>
      </c>
      <c r="G11" s="7">
        <f>A11-F11</f>
        <v>84428.59150999994</v>
      </c>
    </row>
    <row r="12" spans="1:7">
      <c r="A12">
        <v>686737.87</v>
      </c>
      <c r="B12">
        <v>38297.58</v>
      </c>
      <c r="C12">
        <v>5893</v>
      </c>
      <c r="D12">
        <v>77.599999999999994</v>
      </c>
      <c r="E12">
        <v>0</v>
      </c>
      <c r="F12" s="7">
        <f>129781+(1.179*B12)+(33.5281*C12)+(2969.11*D12)+(25645.7*E12)</f>
        <v>602917.87612000003</v>
      </c>
      <c r="G12" s="7">
        <f>A12-F12</f>
        <v>83819.993879999965</v>
      </c>
    </row>
    <row r="13" spans="1:7">
      <c r="A13">
        <v>735786.64</v>
      </c>
      <c r="B13">
        <v>61391.8</v>
      </c>
      <c r="C13">
        <v>5575</v>
      </c>
      <c r="D13">
        <v>90</v>
      </c>
      <c r="E13">
        <v>0</v>
      </c>
      <c r="F13" s="7">
        <f>129781+(1.179*B13)+(33.5281*C13)+(2969.11*D13)+(25645.7*E13)</f>
        <v>656300.98970000003</v>
      </c>
      <c r="G13" s="7">
        <f>A13-F13</f>
        <v>79485.650299999979</v>
      </c>
    </row>
    <row r="14" spans="1:7">
      <c r="A14">
        <v>723305.11</v>
      </c>
      <c r="B14">
        <v>61650.79</v>
      </c>
      <c r="C14">
        <v>5321</v>
      </c>
      <c r="D14">
        <v>89.2</v>
      </c>
      <c r="E14">
        <v>0</v>
      </c>
      <c r="F14" s="7">
        <f>129781+(1.179*B14)+(33.5281*C14)+(2969.11*D14)+(25645.7*E14)</f>
        <v>645714.9135100001</v>
      </c>
      <c r="G14" s="7">
        <f>A14-F14</f>
        <v>77590.196489999886</v>
      </c>
    </row>
    <row r="15" spans="1:7">
      <c r="A15">
        <v>787715.51</v>
      </c>
      <c r="B15">
        <v>78111.97</v>
      </c>
      <c r="C15">
        <v>6389</v>
      </c>
      <c r="D15">
        <v>83.9</v>
      </c>
      <c r="E15">
        <v>1</v>
      </c>
      <c r="F15" s="7">
        <f>129781+(1.179*B15)+(33.5281*C15)+(2969.11*D15)+(25645.7*E15)</f>
        <v>710840.07253</v>
      </c>
      <c r="G15" s="7">
        <f>A15-F15</f>
        <v>76875.437470000004</v>
      </c>
    </row>
    <row r="16" spans="1:7">
      <c r="A16">
        <v>795153.84</v>
      </c>
      <c r="B16">
        <v>64294.23</v>
      </c>
      <c r="C16">
        <v>6992</v>
      </c>
      <c r="D16">
        <v>94.1</v>
      </c>
      <c r="E16">
        <v>0</v>
      </c>
      <c r="F16" s="7">
        <f>129781+(1.179*B16)+(33.5281*C16)+(2969.11*D16)+(25645.7*E16)</f>
        <v>719405.62336999993</v>
      </c>
      <c r="G16" s="7">
        <f>A16-F16</f>
        <v>75748.216630000039</v>
      </c>
    </row>
    <row r="17" spans="1:7">
      <c r="A17">
        <v>677640.65</v>
      </c>
      <c r="B17">
        <v>51450.55</v>
      </c>
      <c r="C17">
        <v>4902</v>
      </c>
      <c r="D17">
        <v>83.7</v>
      </c>
      <c r="E17">
        <v>0</v>
      </c>
      <c r="F17" s="7">
        <f>129781+(1.179*B17)+(33.5281*C17)+(2969.11*D17)+(25645.7*E17)</f>
        <v>603310.45165000006</v>
      </c>
      <c r="G17" s="7">
        <f>A17-F17</f>
        <v>74330.198349999962</v>
      </c>
    </row>
    <row r="18" spans="1:7">
      <c r="A18">
        <v>799046.94</v>
      </c>
      <c r="B18">
        <v>63582.11</v>
      </c>
      <c r="C18">
        <v>6856</v>
      </c>
      <c r="D18">
        <v>89.5</v>
      </c>
      <c r="E18">
        <v>1</v>
      </c>
      <c r="F18" s="7">
        <f>129781+(1.179*B18)+(33.5281*C18)+(2969.11*D18)+(25645.7*E18)</f>
        <v>725994.00628999993</v>
      </c>
      <c r="G18" s="7">
        <f>A18-F18</f>
        <v>73052.933710000012</v>
      </c>
    </row>
    <row r="19" spans="1:7">
      <c r="A19">
        <v>657429.18000000005</v>
      </c>
      <c r="B19">
        <v>68077.539999999994</v>
      </c>
      <c r="C19">
        <v>3360</v>
      </c>
      <c r="D19">
        <v>88.2</v>
      </c>
      <c r="E19">
        <v>0</v>
      </c>
      <c r="F19" s="7">
        <f>129781+(1.179*B19)+(33.5281*C19)+(2969.11*D19)+(25645.7*E19)</f>
        <v>584574.33766000008</v>
      </c>
      <c r="G19" s="7">
        <f>A19-F19</f>
        <v>72854.842339999974</v>
      </c>
    </row>
    <row r="20" spans="1:7">
      <c r="A20">
        <v>724216.07</v>
      </c>
      <c r="B20">
        <v>56918.16</v>
      </c>
      <c r="C20">
        <v>7015</v>
      </c>
      <c r="D20">
        <v>74.2</v>
      </c>
      <c r="E20">
        <v>0</v>
      </c>
      <c r="F20" s="7">
        <f>129781+(1.179*B20)+(33.5281*C20)+(2969.11*D20)+(25645.7*E20)</f>
        <v>652395.09414000006</v>
      </c>
      <c r="G20" s="7">
        <f>A20-F20</f>
        <v>71820.97585999989</v>
      </c>
    </row>
    <row r="21" spans="1:7">
      <c r="A21">
        <v>788087.68</v>
      </c>
      <c r="B21">
        <v>70144.78</v>
      </c>
      <c r="C21">
        <v>6806</v>
      </c>
      <c r="D21">
        <v>93.1</v>
      </c>
      <c r="E21">
        <v>0</v>
      </c>
      <c r="F21" s="7">
        <f>129781+(1.179*B21)+(33.5281*C21)+(2969.11*D21)+(25645.7*E21)</f>
        <v>717098.08522000001</v>
      </c>
      <c r="G21" s="7">
        <f>A21-F21</f>
        <v>70989.594780000043</v>
      </c>
    </row>
    <row r="22" spans="1:7">
      <c r="A22">
        <v>749559.71</v>
      </c>
      <c r="B22">
        <v>74907.98</v>
      </c>
      <c r="C22">
        <v>5306</v>
      </c>
      <c r="D22">
        <v>95.6</v>
      </c>
      <c r="E22">
        <v>0</v>
      </c>
      <c r="F22" s="7">
        <f>129781+(1.179*B22)+(33.5281*C22)+(2969.11*D22)+(25645.7*E22)</f>
        <v>679844.52301999996</v>
      </c>
      <c r="G22" s="7">
        <f>A22-F22</f>
        <v>69715.186979999999</v>
      </c>
    </row>
    <row r="23" spans="1:7">
      <c r="A23">
        <v>850164.26</v>
      </c>
      <c r="B23">
        <v>68148.52</v>
      </c>
      <c r="C23">
        <v>8567</v>
      </c>
      <c r="D23">
        <v>95.6</v>
      </c>
      <c r="E23">
        <v>0</v>
      </c>
      <c r="F23" s="7">
        <f>129781+(1.179*B23)+(33.5281*C23)+(2969.11*D23)+(25645.7*E23)</f>
        <v>781210.25377999991</v>
      </c>
      <c r="G23" s="7">
        <f>A23-F23</f>
        <v>68954.006220000098</v>
      </c>
    </row>
    <row r="24" spans="1:7">
      <c r="A24">
        <v>838250.32</v>
      </c>
      <c r="B24">
        <v>86421.88</v>
      </c>
      <c r="C24">
        <v>7970</v>
      </c>
      <c r="D24">
        <v>91.3</v>
      </c>
      <c r="E24">
        <v>0</v>
      </c>
      <c r="F24" s="7">
        <f>129781+(1.179*B24)+(33.5281*C24)+(2969.11*D24)+(25645.7*E24)</f>
        <v>769971.09652000002</v>
      </c>
      <c r="G24" s="7">
        <f>A24-F24</f>
        <v>68279.223479999928</v>
      </c>
    </row>
    <row r="25" spans="1:7">
      <c r="A25">
        <v>765906.95</v>
      </c>
      <c r="B25">
        <v>48031.74</v>
      </c>
      <c r="C25">
        <v>6516</v>
      </c>
      <c r="D25">
        <v>99</v>
      </c>
      <c r="E25">
        <v>0</v>
      </c>
      <c r="F25" s="7">
        <f>129781+(1.179*B25)+(33.5281*C25)+(2969.11*D25)+(25645.7*E25)</f>
        <v>698821.41106000007</v>
      </c>
      <c r="G25" s="7">
        <f>A25-F25</f>
        <v>67085.538939999882</v>
      </c>
    </row>
    <row r="26" spans="1:7">
      <c r="A26">
        <v>682208.01</v>
      </c>
      <c r="B26">
        <v>60628.38</v>
      </c>
      <c r="C26">
        <v>4451</v>
      </c>
      <c r="D26">
        <v>89.6</v>
      </c>
      <c r="E26">
        <v>0</v>
      </c>
      <c r="F26" s="7">
        <f>129781+(1.179*B26)+(33.5281*C26)+(2969.11*D26)+(25645.7*E26)</f>
        <v>616527.68912</v>
      </c>
      <c r="G26" s="7">
        <f>A26-F26</f>
        <v>65680.320880000014</v>
      </c>
    </row>
    <row r="27" spans="1:7">
      <c r="A27">
        <v>776110.32</v>
      </c>
      <c r="B27">
        <v>38397.82</v>
      </c>
      <c r="C27">
        <v>7836</v>
      </c>
      <c r="D27">
        <v>92.2</v>
      </c>
      <c r="E27">
        <v>0</v>
      </c>
      <c r="F27" s="7">
        <f>129781+(1.179*B27)+(33.5281*C27)+(2969.11*D27)+(25645.7*E27)</f>
        <v>711530.16338000004</v>
      </c>
      <c r="G27" s="7">
        <f>A27-F27</f>
        <v>64580.156619999907</v>
      </c>
    </row>
    <row r="28" spans="1:7">
      <c r="A28">
        <v>661927.14</v>
      </c>
      <c r="B28">
        <v>70937.240000000005</v>
      </c>
      <c r="C28">
        <v>3595</v>
      </c>
      <c r="D28">
        <v>88.9</v>
      </c>
      <c r="E28">
        <v>0</v>
      </c>
      <c r="F28" s="7">
        <f>129781+(1.179*B28)+(33.5281*C28)+(2969.11*D28)+(25645.7*E28)</f>
        <v>597903.40446000011</v>
      </c>
      <c r="G28" s="7">
        <f>A28-F28</f>
        <v>64023.735539999907</v>
      </c>
    </row>
    <row r="29" spans="1:7">
      <c r="A29">
        <v>842157.92</v>
      </c>
      <c r="B29">
        <v>56517.9</v>
      </c>
      <c r="C29">
        <v>9574</v>
      </c>
      <c r="D29">
        <v>88.2</v>
      </c>
      <c r="E29">
        <v>0</v>
      </c>
      <c r="F29" s="7">
        <f>129781+(1.179*B29)+(33.5281*C29)+(2969.11*D29)+(25645.7*E29)</f>
        <v>779289.13549999997</v>
      </c>
      <c r="G29" s="7">
        <f>A29-F29</f>
        <v>62868.784500000067</v>
      </c>
    </row>
    <row r="30" spans="1:7">
      <c r="A30">
        <v>780580.95</v>
      </c>
      <c r="B30">
        <v>31997.25</v>
      </c>
      <c r="C30">
        <v>8183</v>
      </c>
      <c r="D30">
        <v>93</v>
      </c>
      <c r="E30">
        <v>0</v>
      </c>
      <c r="F30" s="7">
        <f>129781+(1.179*B30)+(33.5281*C30)+(2969.11*D30)+(25645.7*E30)</f>
        <v>717993.43005000008</v>
      </c>
      <c r="G30" s="7">
        <f>A30-F30</f>
        <v>62587.519949999871</v>
      </c>
    </row>
    <row r="31" spans="1:7">
      <c r="A31">
        <v>758827.64</v>
      </c>
      <c r="B31">
        <v>69779</v>
      </c>
      <c r="C31">
        <v>6544</v>
      </c>
      <c r="D31">
        <v>90.2</v>
      </c>
      <c r="E31">
        <v>0</v>
      </c>
      <c r="F31" s="7">
        <f>129781+(1.179*B31)+(33.5281*C31)+(2969.11*D31)+(25645.7*E31)</f>
        <v>699272.04940000002</v>
      </c>
      <c r="G31" s="7">
        <f>A31-F31</f>
        <v>59555.590599999996</v>
      </c>
    </row>
    <row r="32" spans="1:7">
      <c r="A32">
        <v>930581.7</v>
      </c>
      <c r="B32">
        <v>71838.86</v>
      </c>
      <c r="C32">
        <v>10979</v>
      </c>
      <c r="D32">
        <v>88.6</v>
      </c>
      <c r="E32">
        <v>1</v>
      </c>
      <c r="F32" s="7">
        <f>129781+(1.179*B32)+(33.5281*C32)+(2969.11*D32)+(25645.7*E32)</f>
        <v>871292.87183999992</v>
      </c>
      <c r="G32" s="7">
        <f>A32-F32</f>
        <v>59288.828160000034</v>
      </c>
    </row>
    <row r="33" spans="1:7">
      <c r="A33">
        <v>820593.93</v>
      </c>
      <c r="B33">
        <v>75269.87</v>
      </c>
      <c r="C33">
        <v>8838</v>
      </c>
      <c r="D33">
        <v>83.1</v>
      </c>
      <c r="E33">
        <v>0</v>
      </c>
      <c r="F33" s="7">
        <f>129781+(1.179*B33)+(33.5281*C33)+(2969.11*D33)+(25645.7*E33)</f>
        <v>761578.56553000002</v>
      </c>
      <c r="G33" s="7">
        <f>A33-F33</f>
        <v>59015.36447000003</v>
      </c>
    </row>
    <row r="34" spans="1:7">
      <c r="A34">
        <v>620973.03</v>
      </c>
      <c r="B34">
        <v>23254.57</v>
      </c>
      <c r="C34">
        <v>3847</v>
      </c>
      <c r="D34">
        <v>93</v>
      </c>
      <c r="E34">
        <v>0</v>
      </c>
      <c r="F34" s="7">
        <f>129781+(1.179*B34)+(33.5281*C34)+(2969.11*D34)+(25645.7*E34)</f>
        <v>562307.96873000008</v>
      </c>
      <c r="G34" s="7">
        <f>A34-F34</f>
        <v>58665.061269999947</v>
      </c>
    </row>
    <row r="35" spans="1:7">
      <c r="A35">
        <v>795464.47</v>
      </c>
      <c r="B35">
        <v>54300.87</v>
      </c>
      <c r="C35">
        <v>7875</v>
      </c>
      <c r="D35">
        <v>94.1</v>
      </c>
      <c r="E35">
        <v>0</v>
      </c>
      <c r="F35" s="7">
        <f>129781+(1.179*B35)+(33.5281*C35)+(2969.11*D35)+(25645.7*E35)</f>
        <v>737228.76423000009</v>
      </c>
      <c r="G35" s="7">
        <f>A35-F35</f>
        <v>58235.705769999884</v>
      </c>
    </row>
    <row r="36" spans="1:7">
      <c r="A36">
        <v>783582</v>
      </c>
      <c r="B36">
        <v>29389.32</v>
      </c>
      <c r="C36">
        <v>7925</v>
      </c>
      <c r="D36">
        <v>90.9</v>
      </c>
      <c r="E36">
        <v>1</v>
      </c>
      <c r="F36" s="7">
        <f>129781+(1.179*B36)+(33.5281*C36)+(2969.11*D36)+(25645.7*E36)</f>
        <v>725678.99977999995</v>
      </c>
      <c r="G36" s="7">
        <f>A36-F36</f>
        <v>57903.000220000045</v>
      </c>
    </row>
    <row r="37" spans="1:7">
      <c r="A37">
        <v>753473.55</v>
      </c>
      <c r="B37">
        <v>67439.3</v>
      </c>
      <c r="C37">
        <v>6477</v>
      </c>
      <c r="D37">
        <v>90.9</v>
      </c>
      <c r="E37">
        <v>0</v>
      </c>
      <c r="F37" s="7">
        <f>129781+(1.179*B37)+(33.5281*C37)+(2969.11*D37)+(25645.7*E37)</f>
        <v>696345.53740000003</v>
      </c>
      <c r="G37" s="7">
        <f>A37-F37</f>
        <v>57128.012600000016</v>
      </c>
    </row>
    <row r="38" spans="1:7">
      <c r="A38">
        <v>776922.17</v>
      </c>
      <c r="B38">
        <v>80562.81</v>
      </c>
      <c r="C38">
        <v>7470</v>
      </c>
      <c r="D38">
        <v>83.5</v>
      </c>
      <c r="E38">
        <v>0</v>
      </c>
      <c r="F38" s="7">
        <f>129781+(1.179*B38)+(33.5281*C38)+(2969.11*D38)+(25645.7*E38)</f>
        <v>723140.14498999994</v>
      </c>
      <c r="G38" s="7">
        <f>A38-F38</f>
        <v>53782.025010000099</v>
      </c>
    </row>
    <row r="39" spans="1:7">
      <c r="A39">
        <v>615966.48</v>
      </c>
      <c r="B39">
        <v>37284.660000000003</v>
      </c>
      <c r="C39">
        <v>3928</v>
      </c>
      <c r="D39">
        <v>86.5</v>
      </c>
      <c r="E39">
        <v>0</v>
      </c>
      <c r="F39" s="7">
        <f>129781+(1.179*B39)+(33.5281*C39)+(2969.11*D39)+(25645.7*E39)</f>
        <v>562266.00594000006</v>
      </c>
      <c r="G39" s="7">
        <f>A39-F39</f>
        <v>53700.47405999992</v>
      </c>
    </row>
    <row r="40" spans="1:7">
      <c r="A40">
        <v>898031.04</v>
      </c>
      <c r="B40">
        <v>74881.56</v>
      </c>
      <c r="C40">
        <v>9999</v>
      </c>
      <c r="D40">
        <v>89.6</v>
      </c>
      <c r="E40">
        <v>1</v>
      </c>
      <c r="F40" s="7">
        <f>129781+(1.179*B40)+(33.5281*C40)+(2969.11*D40)+(25645.7*E40)</f>
        <v>844991.78713999991</v>
      </c>
      <c r="G40" s="7">
        <f>A40-F40</f>
        <v>53039.252860000124</v>
      </c>
    </row>
    <row r="41" spans="1:7">
      <c r="A41">
        <v>825797.91</v>
      </c>
      <c r="B41">
        <v>72150.53</v>
      </c>
      <c r="C41">
        <v>9323</v>
      </c>
      <c r="D41">
        <v>82.9</v>
      </c>
      <c r="E41">
        <v>0</v>
      </c>
      <c r="F41" s="7">
        <f>129781+(1.179*B41)+(33.5281*C41)+(2969.11*D41)+(25645.7*E41)</f>
        <v>773568.17017000006</v>
      </c>
      <c r="G41" s="7">
        <f>A41-F41</f>
        <v>52229.739829999977</v>
      </c>
    </row>
    <row r="42" spans="1:7">
      <c r="A42">
        <v>761860.19</v>
      </c>
      <c r="B42">
        <v>74954.47</v>
      </c>
      <c r="C42">
        <v>6620</v>
      </c>
      <c r="D42">
        <v>91.1</v>
      </c>
      <c r="E42">
        <v>0</v>
      </c>
      <c r="F42" s="7">
        <f>129781+(1.179*B42)+(33.5281*C42)+(2969.11*D42)+(25645.7*E42)</f>
        <v>710594.26312999998</v>
      </c>
      <c r="G42" s="7">
        <f>A42-F42</f>
        <v>51265.926869999967</v>
      </c>
    </row>
    <row r="43" spans="1:7">
      <c r="A43">
        <v>711213.46</v>
      </c>
      <c r="B43">
        <v>50517.94</v>
      </c>
      <c r="C43">
        <v>7024</v>
      </c>
      <c r="D43">
        <v>79.2</v>
      </c>
      <c r="E43">
        <v>0</v>
      </c>
      <c r="F43" s="7">
        <f>129781+(1.179*B43)+(33.5281*C43)+(2969.11*D43)+(25645.7*E43)</f>
        <v>659996.53766000003</v>
      </c>
      <c r="G43" s="7">
        <f>A43-F43</f>
        <v>51216.922339999932</v>
      </c>
    </row>
    <row r="44" spans="1:7">
      <c r="A44">
        <v>873380.02</v>
      </c>
      <c r="B44">
        <v>80176.34</v>
      </c>
      <c r="C44">
        <v>9489</v>
      </c>
      <c r="D44">
        <v>94.3</v>
      </c>
      <c r="E44">
        <v>0</v>
      </c>
      <c r="F44" s="7">
        <f>129781+(1.179*B44)+(33.5281*C44)+(2969.11*D44)+(25645.7*E44)</f>
        <v>822444.11875999998</v>
      </c>
      <c r="G44" s="7">
        <f>A44-F44</f>
        <v>50935.901240000036</v>
      </c>
    </row>
    <row r="45" spans="1:7">
      <c r="A45">
        <v>870937.4</v>
      </c>
      <c r="B45">
        <v>113736</v>
      </c>
      <c r="C45">
        <v>8961</v>
      </c>
      <c r="D45">
        <v>86.2</v>
      </c>
      <c r="E45">
        <v>0</v>
      </c>
      <c r="F45" s="7">
        <f>129781+(1.179*B45)+(33.5281*C45)+(2969.11*D45)+(25645.7*E45)</f>
        <v>820258.33010000002</v>
      </c>
      <c r="G45" s="7">
        <f>A45-F45</f>
        <v>50679.069900000002</v>
      </c>
    </row>
    <row r="46" spans="1:7">
      <c r="A46">
        <v>635181.35</v>
      </c>
      <c r="B46">
        <v>53084.76</v>
      </c>
      <c r="C46">
        <v>3642</v>
      </c>
      <c r="D46">
        <v>91.4</v>
      </c>
      <c r="E46">
        <v>0</v>
      </c>
      <c r="F46" s="7">
        <f>129781+(1.179*B46)+(33.5281*C46)+(2969.11*D46)+(25645.7*E46)</f>
        <v>585853.92624000006</v>
      </c>
      <c r="G46" s="7">
        <f>A46-F46</f>
        <v>49327.423759999918</v>
      </c>
    </row>
    <row r="47" spans="1:7">
      <c r="A47">
        <v>720852.5</v>
      </c>
      <c r="B47">
        <v>81195.5</v>
      </c>
      <c r="C47">
        <v>5516</v>
      </c>
      <c r="D47">
        <v>88</v>
      </c>
      <c r="E47">
        <v>0</v>
      </c>
      <c r="F47" s="7">
        <f>129781+(1.179*B47)+(33.5281*C47)+(2969.11*D47)+(25645.7*E47)</f>
        <v>671733.17410000006</v>
      </c>
      <c r="G47" s="7">
        <f>A47-F47</f>
        <v>49119.325899999938</v>
      </c>
    </row>
    <row r="48" spans="1:7">
      <c r="A48">
        <v>682639.28</v>
      </c>
      <c r="B48">
        <v>44034.6</v>
      </c>
      <c r="C48">
        <v>5645</v>
      </c>
      <c r="D48">
        <v>88.5</v>
      </c>
      <c r="E48">
        <v>0</v>
      </c>
      <c r="F48" s="7">
        <f>129781+(1.179*B48)+(33.5281*C48)+(2969.11*D48)+(25645.7*E48)</f>
        <v>633730.15289999999</v>
      </c>
      <c r="G48" s="7">
        <f>A48-F48</f>
        <v>48909.127100000042</v>
      </c>
    </row>
    <row r="49" spans="1:7">
      <c r="A49">
        <v>778397.97</v>
      </c>
      <c r="B49">
        <v>61426.04</v>
      </c>
      <c r="C49">
        <v>8966</v>
      </c>
      <c r="D49">
        <v>76.400000000000006</v>
      </c>
      <c r="E49">
        <v>0</v>
      </c>
      <c r="F49" s="7">
        <f>129781+(1.179*B49)+(33.5281*C49)+(2969.11*D49)+(25645.7*E49)</f>
        <v>729655.24976000004</v>
      </c>
      <c r="G49" s="7">
        <f>A49-F49</f>
        <v>48742.720239999937</v>
      </c>
    </row>
    <row r="50" spans="1:7">
      <c r="A50">
        <v>739374.56</v>
      </c>
      <c r="B50">
        <v>23914.97</v>
      </c>
      <c r="C50">
        <v>8018</v>
      </c>
      <c r="D50">
        <v>89</v>
      </c>
      <c r="E50">
        <v>0</v>
      </c>
      <c r="F50" s="7">
        <f>129781+(1.179*B50)+(33.5281*C50)+(2969.11*D50)+(25645.7*E50)</f>
        <v>691055.8454300001</v>
      </c>
      <c r="G50" s="7">
        <f>A50-F50</f>
        <v>48318.714569999953</v>
      </c>
    </row>
    <row r="51" spans="1:7">
      <c r="A51">
        <v>773815.14</v>
      </c>
      <c r="B51">
        <v>65312.49</v>
      </c>
      <c r="C51">
        <v>7189</v>
      </c>
      <c r="D51">
        <v>93.7</v>
      </c>
      <c r="E51">
        <v>0</v>
      </c>
      <c r="F51" s="7">
        <f>129781+(1.179*B51)+(33.5281*C51)+(2969.11*D51)+(25645.7*E51)</f>
        <v>726023.54361000005</v>
      </c>
      <c r="G51" s="7">
        <f>A51-F51</f>
        <v>47791.596389999962</v>
      </c>
    </row>
    <row r="52" spans="1:7">
      <c r="A52">
        <v>658072.14</v>
      </c>
      <c r="B52">
        <v>47241.919999999998</v>
      </c>
      <c r="C52">
        <v>4264</v>
      </c>
      <c r="D52">
        <v>95.3</v>
      </c>
      <c r="E52">
        <v>0</v>
      </c>
      <c r="F52" s="7">
        <f>129781+(1.179*B52)+(33.5281*C52)+(2969.11*D52)+(25645.7*E52)</f>
        <v>611399.22508</v>
      </c>
      <c r="G52" s="7">
        <f>A52-F52</f>
        <v>46672.91492000001</v>
      </c>
    </row>
    <row r="53" spans="1:7">
      <c r="A53">
        <v>715890.53</v>
      </c>
      <c r="B53">
        <v>51430.31</v>
      </c>
      <c r="C53">
        <v>6427</v>
      </c>
      <c r="D53">
        <v>88.8</v>
      </c>
      <c r="E53">
        <v>0</v>
      </c>
      <c r="F53" s="7">
        <f>129781+(1.179*B53)+(33.5281*C53)+(2969.11*D53)+(25645.7*E53)</f>
        <v>669559.40219000005</v>
      </c>
      <c r="G53" s="7">
        <f>A53-F53</f>
        <v>46331.127809999976</v>
      </c>
    </row>
    <row r="54" spans="1:7">
      <c r="A54">
        <v>910791.94</v>
      </c>
      <c r="B54">
        <v>67979.88</v>
      </c>
      <c r="C54">
        <v>11230</v>
      </c>
      <c r="D54">
        <v>85.3</v>
      </c>
      <c r="E54">
        <v>1</v>
      </c>
      <c r="F54" s="7">
        <f>129781+(1.179*B54)+(33.5281*C54)+(2969.11*D54)+(25645.7*E54)</f>
        <v>865360.62451999995</v>
      </c>
      <c r="G54" s="7">
        <f>A54-F54</f>
        <v>45431.31547999999</v>
      </c>
    </row>
    <row r="55" spans="1:7">
      <c r="A55">
        <v>691447.43</v>
      </c>
      <c r="B55">
        <v>71851.45</v>
      </c>
      <c r="C55">
        <v>4970</v>
      </c>
      <c r="D55">
        <v>89.6</v>
      </c>
      <c r="E55">
        <v>0</v>
      </c>
      <c r="F55" s="7">
        <f>129781+(1.179*B55)+(33.5281*C55)+(2969.11*D55)+(25645.7*E55)</f>
        <v>647160.77254999999</v>
      </c>
      <c r="G55" s="7">
        <f>A55-F55</f>
        <v>44286.657450000057</v>
      </c>
    </row>
    <row r="56" spans="1:7">
      <c r="A56">
        <v>586307.22</v>
      </c>
      <c r="B56">
        <v>31207.51</v>
      </c>
      <c r="C56">
        <v>3701</v>
      </c>
      <c r="D56">
        <v>84.7</v>
      </c>
      <c r="E56">
        <v>0</v>
      </c>
      <c r="F56" s="7">
        <f>129781+(1.179*B56)+(33.5281*C56)+(2969.11*D56)+(25645.7*E56)</f>
        <v>542145.76939000003</v>
      </c>
      <c r="G56" s="7">
        <f>A56-F56</f>
        <v>44161.450609999942</v>
      </c>
    </row>
    <row r="57" spans="1:7">
      <c r="A57">
        <v>696744.15</v>
      </c>
      <c r="B57">
        <v>47093.55</v>
      </c>
      <c r="C57">
        <v>5550</v>
      </c>
      <c r="D57">
        <v>95</v>
      </c>
      <c r="E57">
        <v>0</v>
      </c>
      <c r="F57" s="7">
        <f>129781+(1.179*B57)+(33.5281*C57)+(2969.11*D57)+(25645.7*E57)</f>
        <v>653450.70045000012</v>
      </c>
      <c r="G57" s="7">
        <f>A57-F57</f>
        <v>43293.449549999903</v>
      </c>
    </row>
    <row r="58" spans="1:7">
      <c r="A58">
        <v>691112.6</v>
      </c>
      <c r="B58">
        <v>54872.82</v>
      </c>
      <c r="C58">
        <v>5962</v>
      </c>
      <c r="D58">
        <v>85.4</v>
      </c>
      <c r="E58">
        <v>0</v>
      </c>
      <c r="F58" s="7">
        <f>129781+(1.179*B58)+(33.5281*C58)+(2969.11*D58)+(25645.7*E58)</f>
        <v>647932.58098000009</v>
      </c>
      <c r="G58" s="7">
        <f>A58-F58</f>
        <v>43180.019019999891</v>
      </c>
    </row>
    <row r="59" spans="1:7">
      <c r="A59">
        <v>665342.49</v>
      </c>
      <c r="B59">
        <v>22387.26</v>
      </c>
      <c r="C59">
        <v>6301</v>
      </c>
      <c r="D59">
        <v>85.9</v>
      </c>
      <c r="E59">
        <v>0</v>
      </c>
      <c r="F59" s="7">
        <f>129781+(1.179*B59)+(33.5281*C59)+(2969.11*D59)+(25645.7*E59)</f>
        <v>622482.68664000009</v>
      </c>
      <c r="G59" s="7">
        <f>A59-F59</f>
        <v>42859.803359999903</v>
      </c>
    </row>
    <row r="60" spans="1:7">
      <c r="A60">
        <v>804975.5</v>
      </c>
      <c r="B60">
        <v>41819.449999999997</v>
      </c>
      <c r="C60">
        <v>9412</v>
      </c>
      <c r="D60">
        <v>91</v>
      </c>
      <c r="E60">
        <v>0</v>
      </c>
      <c r="F60" s="7">
        <f>129781+(1.179*B60)+(33.5281*C60)+(2969.11*D60)+(25645.7*E60)</f>
        <v>764841.61875000002</v>
      </c>
      <c r="G60" s="7">
        <f>A60-F60</f>
        <v>40133.881249999977</v>
      </c>
    </row>
    <row r="61" spans="1:7">
      <c r="A61">
        <v>739852.58</v>
      </c>
      <c r="B61">
        <v>82116.19</v>
      </c>
      <c r="C61">
        <v>5988</v>
      </c>
      <c r="D61">
        <v>91.8</v>
      </c>
      <c r="E61">
        <v>0</v>
      </c>
      <c r="F61" s="7">
        <f>129781+(1.179*B61)+(33.5281*C61)+(2969.11*D61)+(25645.7*E61)</f>
        <v>699926.54881000007</v>
      </c>
      <c r="G61" s="7">
        <f>A61-F61</f>
        <v>39926.031189999892</v>
      </c>
    </row>
    <row r="62" spans="1:7">
      <c r="A62">
        <v>746677.75</v>
      </c>
      <c r="B62">
        <v>99874.01</v>
      </c>
      <c r="C62">
        <v>5887</v>
      </c>
      <c r="D62">
        <v>88.7</v>
      </c>
      <c r="E62">
        <v>0</v>
      </c>
      <c r="F62" s="7">
        <f>129781+(1.179*B62)+(33.5281*C62)+(2969.11*D62)+(25645.7*E62)</f>
        <v>708272.43949000002</v>
      </c>
      <c r="G62" s="7">
        <f>A62-F62</f>
        <v>38405.310509999981</v>
      </c>
    </row>
    <row r="63" spans="1:7">
      <c r="A63">
        <v>561597.32999999996</v>
      </c>
      <c r="B63">
        <v>17562.57</v>
      </c>
      <c r="C63">
        <v>3326</v>
      </c>
      <c r="D63">
        <v>88.1</v>
      </c>
      <c r="E63">
        <v>0</v>
      </c>
      <c r="F63" s="7">
        <f>129781+(1.179*B63)+(33.5281*C63)+(2969.11*D63)+(25645.7*E63)</f>
        <v>523580.32163000002</v>
      </c>
      <c r="G63" s="7">
        <f>A63-F63</f>
        <v>38017.008369999938</v>
      </c>
    </row>
    <row r="64" spans="1:7">
      <c r="A64">
        <v>709478.39</v>
      </c>
      <c r="B64">
        <v>75265.02</v>
      </c>
      <c r="C64">
        <v>6975</v>
      </c>
      <c r="D64">
        <v>73.8</v>
      </c>
      <c r="E64">
        <v>0</v>
      </c>
      <c r="F64" s="7">
        <f>129781+(1.179*B64)+(33.5281*C64)+(2969.11*D64)+(25645.7*E64)</f>
        <v>671497.27408</v>
      </c>
      <c r="G64" s="7">
        <f>A64-F64</f>
        <v>37981.115920000011</v>
      </c>
    </row>
    <row r="65" spans="1:7">
      <c r="A65">
        <v>625993.82999999996</v>
      </c>
      <c r="B65">
        <v>71641.899999999994</v>
      </c>
      <c r="C65">
        <v>3506</v>
      </c>
      <c r="D65">
        <v>86.4</v>
      </c>
      <c r="E65">
        <v>0</v>
      </c>
      <c r="F65" s="7">
        <f>129781+(1.179*B65)+(33.5281*C65)+(2969.11*D65)+(25645.7*E65)</f>
        <v>588327.4227</v>
      </c>
      <c r="G65" s="7">
        <f>A65-F65</f>
        <v>37666.407299999963</v>
      </c>
    </row>
    <row r="66" spans="1:7">
      <c r="A66">
        <v>727227.2</v>
      </c>
      <c r="B66">
        <v>57919.07</v>
      </c>
      <c r="C66">
        <v>7374</v>
      </c>
      <c r="D66">
        <v>82.3</v>
      </c>
      <c r="E66">
        <v>0</v>
      </c>
      <c r="F66" s="7">
        <f>129781+(1.179*B66)+(33.5281*C66)+(2969.11*D66)+(25645.7*E66)</f>
        <v>689661.54593000002</v>
      </c>
      <c r="G66" s="7">
        <f>A66-F66</f>
        <v>37565.654069999931</v>
      </c>
    </row>
    <row r="67" spans="1:7">
      <c r="A67">
        <v>812152.6</v>
      </c>
      <c r="B67">
        <v>50887.46</v>
      </c>
      <c r="C67">
        <v>9505</v>
      </c>
      <c r="D67">
        <v>89.7</v>
      </c>
      <c r="E67">
        <v>0</v>
      </c>
      <c r="F67" s="7">
        <f>129781+(1.179*B67)+(33.5281*C67)+(2969.11*D67)+(25645.7*E67)</f>
        <v>774791.07284000004</v>
      </c>
      <c r="G67" s="7">
        <f>A67-F67</f>
        <v>37361.52715999994</v>
      </c>
    </row>
    <row r="68" spans="1:7">
      <c r="A68">
        <v>654317.09</v>
      </c>
      <c r="B68">
        <v>83044.17</v>
      </c>
      <c r="C68">
        <v>3694</v>
      </c>
      <c r="D68">
        <v>89.4</v>
      </c>
      <c r="E68">
        <v>0</v>
      </c>
      <c r="F68" s="7">
        <f>129781+(1.179*B68)+(33.5281*C68)+(2969.11*D68)+(25645.7*E68)</f>
        <v>616981.31183000002</v>
      </c>
      <c r="G68" s="7">
        <f>A68-F68</f>
        <v>37335.778169999947</v>
      </c>
    </row>
    <row r="69" spans="1:7">
      <c r="A69">
        <v>922168.6</v>
      </c>
      <c r="B69">
        <v>71828.259999999995</v>
      </c>
      <c r="C69">
        <v>12775</v>
      </c>
      <c r="D69">
        <v>81.7</v>
      </c>
      <c r="E69">
        <v>0</v>
      </c>
      <c r="F69" s="7">
        <f>129781+(1.179*B69)+(33.5281*C69)+(2969.11*D69)+(25645.7*E69)</f>
        <v>885364.28304000001</v>
      </c>
      <c r="G69" s="7">
        <f>A69-F69</f>
        <v>36804.316959999967</v>
      </c>
    </row>
    <row r="70" spans="1:7">
      <c r="A70">
        <v>740102.64</v>
      </c>
      <c r="B70">
        <v>90084.4</v>
      </c>
      <c r="C70">
        <v>6832</v>
      </c>
      <c r="D70">
        <v>80.5</v>
      </c>
      <c r="E70">
        <v>0</v>
      </c>
      <c r="F70" s="7">
        <f>129781+(1.179*B70)+(33.5281*C70)+(2969.11*D70)+(25645.7*E70)</f>
        <v>704067.84180000005</v>
      </c>
      <c r="G70" s="7">
        <f>A70-F70</f>
        <v>36034.798199999961</v>
      </c>
    </row>
    <row r="71" spans="1:7">
      <c r="A71">
        <v>674774.09</v>
      </c>
      <c r="B71">
        <v>55081.16</v>
      </c>
      <c r="C71">
        <v>5485</v>
      </c>
      <c r="D71">
        <v>88</v>
      </c>
      <c r="E71">
        <v>0</v>
      </c>
      <c r="F71" s="7">
        <f>129781+(1.179*B71)+(33.5281*C71)+(2969.11*D71)+(25645.7*E71)</f>
        <v>639904.99614000006</v>
      </c>
      <c r="G71" s="7">
        <f>A71-F71</f>
        <v>34869.093859999906</v>
      </c>
    </row>
    <row r="72" spans="1:7">
      <c r="A72">
        <v>697888.09</v>
      </c>
      <c r="B72">
        <v>28670.43</v>
      </c>
      <c r="C72">
        <v>7574</v>
      </c>
      <c r="D72">
        <v>82.7</v>
      </c>
      <c r="E72">
        <v>0</v>
      </c>
      <c r="F72" s="7">
        <f>129781+(1.179*B72)+(33.5281*C72)+(2969.11*D72)+(25645.7*E72)</f>
        <v>663070.66337000008</v>
      </c>
      <c r="G72" s="7">
        <f>A72-F72</f>
        <v>34817.426629999885</v>
      </c>
    </row>
    <row r="73" spans="1:7">
      <c r="A73">
        <v>762328.31</v>
      </c>
      <c r="B73">
        <v>67722.289999999994</v>
      </c>
      <c r="C73">
        <v>7240</v>
      </c>
      <c r="D73">
        <v>92.9</v>
      </c>
      <c r="E73">
        <v>0</v>
      </c>
      <c r="F73" s="7">
        <f>129781+(1.179*B73)+(33.5281*C73)+(2969.11*D73)+(25645.7*E73)</f>
        <v>728199.34291000001</v>
      </c>
      <c r="G73" s="7">
        <f>A73-F73</f>
        <v>34128.967090000049</v>
      </c>
    </row>
    <row r="74" spans="1:7">
      <c r="A74">
        <v>727957.48</v>
      </c>
      <c r="B74">
        <v>54948.02</v>
      </c>
      <c r="C74">
        <v>6534</v>
      </c>
      <c r="D74">
        <v>94.5</v>
      </c>
      <c r="E74">
        <v>0</v>
      </c>
      <c r="F74" s="7">
        <f>129781+(1.179*B74)+(33.5281*C74)+(2969.11*D74)+(25645.7*E74)</f>
        <v>694218.21597999998</v>
      </c>
      <c r="G74" s="7">
        <f>A74-F74</f>
        <v>33739.264020000002</v>
      </c>
    </row>
    <row r="75" spans="1:7">
      <c r="A75">
        <v>738548.42</v>
      </c>
      <c r="B75">
        <v>36832.33</v>
      </c>
      <c r="C75">
        <v>8001</v>
      </c>
      <c r="D75">
        <v>88.7</v>
      </c>
      <c r="E75">
        <v>0</v>
      </c>
      <c r="F75" s="7">
        <f>129781+(1.179*B75)+(33.5281*C75)+(2969.11*D75)+(25645.7*E75)</f>
        <v>704824.70217000006</v>
      </c>
      <c r="G75" s="7">
        <f>A75-F75</f>
        <v>33723.71782999998</v>
      </c>
    </row>
    <row r="76" spans="1:7">
      <c r="A76">
        <v>675177.68</v>
      </c>
      <c r="B76">
        <v>55101.1</v>
      </c>
      <c r="C76">
        <v>5281</v>
      </c>
      <c r="D76">
        <v>91</v>
      </c>
      <c r="E76">
        <v>0</v>
      </c>
      <c r="F76" s="7">
        <f>129781+(1.179*B76)+(33.5281*C76)+(2969.11*D76)+(25645.7*E76)</f>
        <v>641996.103</v>
      </c>
      <c r="G76" s="7">
        <f>A76-F76</f>
        <v>33181.577000000048</v>
      </c>
    </row>
    <row r="77" spans="1:7">
      <c r="A77">
        <v>725847.99</v>
      </c>
      <c r="B77">
        <v>71855.09</v>
      </c>
      <c r="C77">
        <v>5911</v>
      </c>
      <c r="D77">
        <v>94.3</v>
      </c>
      <c r="E77">
        <v>0</v>
      </c>
      <c r="F77" s="7">
        <f>129781+(1.179*B77)+(33.5281*C77)+(2969.11*D77)+(25645.7*E77)</f>
        <v>692669.82321000006</v>
      </c>
      <c r="G77" s="7">
        <f>A77-F77</f>
        <v>33178.16678999993</v>
      </c>
    </row>
    <row r="78" spans="1:7">
      <c r="A78">
        <v>743348.84</v>
      </c>
      <c r="B78">
        <v>75109.67</v>
      </c>
      <c r="C78">
        <v>6244</v>
      </c>
      <c r="D78">
        <v>96.3</v>
      </c>
      <c r="E78">
        <v>0</v>
      </c>
      <c r="F78" s="7">
        <f>129781+(1.179*B78)+(33.5281*C78)+(2969.11*D78)+(25645.7*E78)</f>
        <v>713610.05033</v>
      </c>
      <c r="G78" s="7">
        <f>A78-F78</f>
        <v>29738.789669999969</v>
      </c>
    </row>
    <row r="79" spans="1:7">
      <c r="A79">
        <v>673348.56</v>
      </c>
      <c r="B79">
        <v>58785.33</v>
      </c>
      <c r="C79">
        <v>4467</v>
      </c>
      <c r="D79">
        <v>90.7</v>
      </c>
      <c r="E79">
        <v>1</v>
      </c>
      <c r="F79" s="7">
        <f>129781+(1.179*B79)+(33.5281*C79)+(2969.11*D79)+(25645.7*E79)</f>
        <v>643802.90376999998</v>
      </c>
      <c r="G79" s="7">
        <f>A79-F79</f>
        <v>29545.656230000081</v>
      </c>
    </row>
    <row r="80" spans="1:7">
      <c r="A80">
        <v>714083.68</v>
      </c>
      <c r="B80">
        <v>66104.19</v>
      </c>
      <c r="C80">
        <v>5745</v>
      </c>
      <c r="D80">
        <v>95.8</v>
      </c>
      <c r="E80">
        <v>0</v>
      </c>
      <c r="F80" s="7">
        <f>129781+(1.179*B80)+(33.5281*C80)+(2969.11*D80)+(25645.7*E80)</f>
        <v>684777.51251000003</v>
      </c>
      <c r="G80" s="7">
        <f>A80-F80</f>
        <v>29306.167490000022</v>
      </c>
    </row>
    <row r="81" spans="1:7">
      <c r="A81">
        <v>569100.78</v>
      </c>
      <c r="B81">
        <v>36475.71</v>
      </c>
      <c r="C81">
        <v>3559</v>
      </c>
      <c r="D81">
        <v>83.6</v>
      </c>
      <c r="E81">
        <v>0</v>
      </c>
      <c r="F81" s="7">
        <f>129781+(1.179*B81)+(33.5281*C81)+(2969.11*D81)+(25645.7*E81)</f>
        <v>540329.96599000006</v>
      </c>
      <c r="G81" s="7">
        <f>A81-F81</f>
        <v>28770.814009999973</v>
      </c>
    </row>
    <row r="82" spans="1:7">
      <c r="A82">
        <v>614800.09</v>
      </c>
      <c r="B82">
        <v>50043.65</v>
      </c>
      <c r="C82">
        <v>3804</v>
      </c>
      <c r="D82">
        <v>90.9</v>
      </c>
      <c r="E82">
        <v>0</v>
      </c>
      <c r="F82" s="7">
        <f>129781+(1.179*B82)+(33.5281*C82)+(2969.11*D82)+(25645.7*E82)</f>
        <v>586215.45475000003</v>
      </c>
      <c r="G82" s="7">
        <f>A82-F82</f>
        <v>28584.635249999934</v>
      </c>
    </row>
    <row r="83" spans="1:7">
      <c r="A83">
        <v>769702.76</v>
      </c>
      <c r="B83">
        <v>50825.08</v>
      </c>
      <c r="C83">
        <v>8949</v>
      </c>
      <c r="D83">
        <v>84.7</v>
      </c>
      <c r="E83">
        <v>0</v>
      </c>
      <c r="F83" s="7">
        <f>129781+(1.179*B83)+(33.5281*C83)+(2969.11*D83)+(25645.7*E83)</f>
        <v>741230.35322000005</v>
      </c>
      <c r="G83" s="7">
        <f>A83-F83</f>
        <v>28472.406779999961</v>
      </c>
    </row>
    <row r="84" spans="1:7">
      <c r="A84">
        <v>641564.6</v>
      </c>
      <c r="B84">
        <v>68212.289999999994</v>
      </c>
      <c r="C84">
        <v>4713</v>
      </c>
      <c r="D84">
        <v>82.6</v>
      </c>
      <c r="E84">
        <v>0</v>
      </c>
      <c r="F84" s="7">
        <f>129781+(1.179*B84)+(33.5281*C84)+(2969.11*D84)+(25645.7*E84)</f>
        <v>613469.71120999998</v>
      </c>
      <c r="G84" s="7">
        <f>A84-F84</f>
        <v>28094.888789999997</v>
      </c>
    </row>
    <row r="85" spans="1:7">
      <c r="A85">
        <v>625672.86</v>
      </c>
      <c r="B85">
        <v>48287.85</v>
      </c>
      <c r="C85">
        <v>5150</v>
      </c>
      <c r="D85">
        <v>80.400000000000006</v>
      </c>
      <c r="E85">
        <v>0</v>
      </c>
      <c r="F85" s="7">
        <f>129781+(1.179*B85)+(33.5281*C85)+(2969.11*D85)+(25645.7*E85)</f>
        <v>598098.53414999996</v>
      </c>
      <c r="G85" s="7">
        <f>A85-F85</f>
        <v>27574.325850000023</v>
      </c>
    </row>
    <row r="86" spans="1:7">
      <c r="A86">
        <v>487738.26</v>
      </c>
      <c r="B86">
        <v>27398.28</v>
      </c>
      <c r="C86">
        <v>1723</v>
      </c>
      <c r="D86">
        <v>81</v>
      </c>
      <c r="E86">
        <v>0</v>
      </c>
      <c r="F86" s="7">
        <f>129781+(1.179*B86)+(33.5281*C86)+(2969.11*D86)+(25645.7*E86)</f>
        <v>460350.39841999998</v>
      </c>
      <c r="G86" s="7">
        <f>A86-F86</f>
        <v>27387.861580000026</v>
      </c>
    </row>
    <row r="87" spans="1:7">
      <c r="A87">
        <v>715097.57</v>
      </c>
      <c r="B87">
        <v>45706.49</v>
      </c>
      <c r="C87">
        <v>6704</v>
      </c>
      <c r="D87">
        <v>94.2</v>
      </c>
      <c r="E87">
        <v>0</v>
      </c>
      <c r="F87" s="7">
        <f>129781+(1.179*B87)+(33.5281*C87)+(2969.11*D87)+(25645.7*E87)</f>
        <v>688131.49610999995</v>
      </c>
      <c r="G87" s="7">
        <f>A87-F87</f>
        <v>26966.07389</v>
      </c>
    </row>
    <row r="88" spans="1:7">
      <c r="A88">
        <v>767792.94</v>
      </c>
      <c r="B88">
        <v>73454.539999999994</v>
      </c>
      <c r="C88">
        <v>8129</v>
      </c>
      <c r="D88">
        <v>85.2</v>
      </c>
      <c r="E88">
        <v>0</v>
      </c>
      <c r="F88" s="7">
        <f>129781+(1.179*B88)+(33.5281*C88)+(2969.11*D88)+(25645.7*E88)</f>
        <v>741901.99956000003</v>
      </c>
      <c r="G88" s="7">
        <f>A88-F88</f>
        <v>25890.940439999918</v>
      </c>
    </row>
    <row r="89" spans="1:7">
      <c r="A89">
        <v>720079.54</v>
      </c>
      <c r="B89">
        <v>75412.740000000005</v>
      </c>
      <c r="C89">
        <v>5641</v>
      </c>
      <c r="D89">
        <v>87.9</v>
      </c>
      <c r="E89">
        <v>1</v>
      </c>
      <c r="F89" s="7">
        <f>129781+(1.179*B89)+(33.5281*C89)+(2969.11*D89)+(25645.7*E89)</f>
        <v>694455.1015600001</v>
      </c>
      <c r="G89" s="7">
        <f>A89-F89</f>
        <v>25624.43843999994</v>
      </c>
    </row>
    <row r="90" spans="1:7">
      <c r="A90">
        <v>529598.93999999994</v>
      </c>
      <c r="B90">
        <v>39341.449999999997</v>
      </c>
      <c r="C90">
        <v>1375</v>
      </c>
      <c r="D90">
        <v>95</v>
      </c>
      <c r="E90">
        <v>0</v>
      </c>
      <c r="F90" s="7">
        <f>129781+(1.179*B90)+(33.5281*C90)+(2969.11*D90)+(25645.7*E90)</f>
        <v>504331.15705000004</v>
      </c>
      <c r="G90" s="7">
        <f>A90-F90</f>
        <v>25267.782949999906</v>
      </c>
    </row>
    <row r="91" spans="1:7">
      <c r="A91">
        <v>771129.07</v>
      </c>
      <c r="B91">
        <v>86026.58</v>
      </c>
      <c r="C91">
        <v>7479</v>
      </c>
      <c r="D91">
        <v>89</v>
      </c>
      <c r="E91">
        <v>0</v>
      </c>
      <c r="F91" s="7">
        <f>129781+(1.179*B91)+(33.5281*C91)+(2969.11*D91)+(25645.7*E91)</f>
        <v>746213.78772000014</v>
      </c>
      <c r="G91" s="7">
        <f>A91-F91</f>
        <v>24915.28227999981</v>
      </c>
    </row>
    <row r="92" spans="1:7">
      <c r="A92">
        <v>636613.23</v>
      </c>
      <c r="B92">
        <v>58688.26</v>
      </c>
      <c r="C92">
        <v>4022</v>
      </c>
      <c r="D92">
        <v>93.8</v>
      </c>
      <c r="E92">
        <v>0</v>
      </c>
      <c r="F92" s="7">
        <f>129781+(1.179*B92)+(33.5281*C92)+(2969.11*D92)+(25645.7*E92)</f>
        <v>612326.99473999999</v>
      </c>
      <c r="G92" s="7">
        <f>A92-F92</f>
        <v>24286.235259999987</v>
      </c>
    </row>
    <row r="93" spans="1:7">
      <c r="A93">
        <v>781955.52</v>
      </c>
      <c r="B93">
        <v>40535.089999999997</v>
      </c>
      <c r="C93">
        <v>8870</v>
      </c>
      <c r="D93">
        <v>86.6</v>
      </c>
      <c r="E93">
        <v>1</v>
      </c>
      <c r="F93" s="7">
        <f>129781+(1.179*B93)+(33.5281*C93)+(2969.11*D93)+(25645.7*E93)</f>
        <v>757736.74410999997</v>
      </c>
      <c r="G93" s="7">
        <f>A93-F93</f>
        <v>24218.775890000048</v>
      </c>
    </row>
    <row r="94" spans="1:7">
      <c r="A94">
        <v>849018.3</v>
      </c>
      <c r="B94">
        <v>66250.53</v>
      </c>
      <c r="C94">
        <v>10618</v>
      </c>
      <c r="D94">
        <v>88.3</v>
      </c>
      <c r="E94">
        <v>0</v>
      </c>
      <c r="F94" s="7">
        <f>129781+(1.179*B94)+(33.5281*C94)+(2969.11*D94)+(25645.7*E94)</f>
        <v>826064.15366999991</v>
      </c>
      <c r="G94" s="7">
        <f>A94-F94</f>
        <v>22954.146330000134</v>
      </c>
    </row>
    <row r="95" spans="1:7">
      <c r="A95">
        <v>695098.51</v>
      </c>
      <c r="B95">
        <v>50198.12</v>
      </c>
      <c r="C95">
        <v>6089</v>
      </c>
      <c r="D95">
        <v>94</v>
      </c>
      <c r="E95">
        <v>0</v>
      </c>
      <c r="F95" s="7">
        <f>129781+(1.179*B95)+(33.5281*C95)+(2969.11*D95)+(25645.7*E95)</f>
        <v>672213.52438000008</v>
      </c>
      <c r="G95" s="7">
        <f>A95-F95</f>
        <v>22884.985619999934</v>
      </c>
    </row>
    <row r="96" spans="1:7">
      <c r="A96">
        <v>574436.29</v>
      </c>
      <c r="B96">
        <v>55388.11</v>
      </c>
      <c r="C96">
        <v>3091</v>
      </c>
      <c r="D96">
        <v>85.4</v>
      </c>
      <c r="E96">
        <v>0</v>
      </c>
      <c r="F96" s="7">
        <f>129781+(1.179*B96)+(33.5281*C96)+(2969.11*D96)+(25645.7*E96)</f>
        <v>552280.93279000011</v>
      </c>
      <c r="G96" s="7">
        <f>A96-F96</f>
        <v>22155.357209999929</v>
      </c>
    </row>
    <row r="97" spans="1:7">
      <c r="A97">
        <v>834017.02</v>
      </c>
      <c r="B97">
        <v>75305.710000000006</v>
      </c>
      <c r="C97">
        <v>10940</v>
      </c>
      <c r="D97">
        <v>76.5</v>
      </c>
      <c r="E97">
        <v>0</v>
      </c>
      <c r="F97" s="7">
        <f>129781+(1.179*B97)+(33.5281*C97)+(2969.11*D97)+(25645.7*E97)</f>
        <v>812500.76109000016</v>
      </c>
      <c r="G97" s="7">
        <f>A97-F97</f>
        <v>21516.258909999859</v>
      </c>
    </row>
    <row r="98" spans="1:7">
      <c r="A98">
        <v>678311.17</v>
      </c>
      <c r="B98">
        <v>57147.88</v>
      </c>
      <c r="C98">
        <v>5252</v>
      </c>
      <c r="D98">
        <v>95.5</v>
      </c>
      <c r="E98">
        <v>0</v>
      </c>
      <c r="F98" s="7">
        <f>129781+(1.179*B98)+(33.5281*C98)+(2969.11*D98)+(25645.7*E98)</f>
        <v>656797.93672</v>
      </c>
      <c r="G98" s="7">
        <f>A98-F98</f>
        <v>21513.233280000044</v>
      </c>
    </row>
    <row r="99" spans="1:7">
      <c r="A99">
        <v>844710.67</v>
      </c>
      <c r="B99">
        <v>66456.28</v>
      </c>
      <c r="C99">
        <v>9967</v>
      </c>
      <c r="D99">
        <v>94.7</v>
      </c>
      <c r="E99">
        <v>0</v>
      </c>
      <c r="F99" s="7">
        <f>129781+(1.179*B99)+(33.5281*C99)+(2969.11*D99)+(25645.7*E99)</f>
        <v>823482.24381999997</v>
      </c>
      <c r="G99" s="7">
        <f>A99-F99</f>
        <v>21228.426180000068</v>
      </c>
    </row>
    <row r="100" spans="1:7">
      <c r="A100">
        <v>647512.85</v>
      </c>
      <c r="B100">
        <v>25818.080000000002</v>
      </c>
      <c r="C100">
        <v>5457</v>
      </c>
      <c r="D100">
        <v>95.4</v>
      </c>
      <c r="E100">
        <v>0</v>
      </c>
      <c r="F100" s="7">
        <f>129781+(1.179*B100)+(33.5281*C100)+(2969.11*D100)+(25645.7*E100)</f>
        <v>626436.45202000008</v>
      </c>
      <c r="G100" s="7">
        <f>A100-F100</f>
        <v>21076.397979999892</v>
      </c>
    </row>
    <row r="101" spans="1:7">
      <c r="A101">
        <v>729440.45</v>
      </c>
      <c r="B101">
        <v>97480.94</v>
      </c>
      <c r="C101">
        <v>6840</v>
      </c>
      <c r="D101">
        <v>79.2</v>
      </c>
      <c r="E101">
        <v>0</v>
      </c>
      <c r="F101" s="7">
        <f>129781+(1.179*B101)+(33.5281*C101)+(2969.11*D101)+(25645.7*E101)</f>
        <v>709196.74426000006</v>
      </c>
      <c r="G101" s="7">
        <f>A101-F101</f>
        <v>20243.705739999888</v>
      </c>
    </row>
    <row r="102" spans="1:7">
      <c r="A102">
        <v>555929.4</v>
      </c>
      <c r="B102">
        <v>42267.37</v>
      </c>
      <c r="C102">
        <v>3364</v>
      </c>
      <c r="D102">
        <v>82</v>
      </c>
      <c r="E102">
        <v>0</v>
      </c>
      <c r="F102" s="7">
        <f>129781+(1.179*B102)+(33.5281*C102)+(2969.11*D102)+(25645.7*E102)</f>
        <v>535869.77763000003</v>
      </c>
      <c r="G102" s="7">
        <f>A102-F102</f>
        <v>20059.622369999997</v>
      </c>
    </row>
    <row r="103" spans="1:7">
      <c r="A103">
        <v>745580.51</v>
      </c>
      <c r="B103">
        <v>56602.39</v>
      </c>
      <c r="C103">
        <v>7969</v>
      </c>
      <c r="D103">
        <v>88.3</v>
      </c>
      <c r="E103">
        <v>0</v>
      </c>
      <c r="F103" s="7">
        <f>129781+(1.179*B103)+(33.5281*C103)+(2969.11*D103)+(25645.7*E103)</f>
        <v>725873.05970999994</v>
      </c>
      <c r="G103" s="7">
        <f>A103-F103</f>
        <v>19707.450290000066</v>
      </c>
    </row>
    <row r="104" spans="1:7">
      <c r="A104">
        <v>702052.47</v>
      </c>
      <c r="B104">
        <v>78967.520000000004</v>
      </c>
      <c r="C104">
        <v>6164</v>
      </c>
      <c r="D104">
        <v>85.5</v>
      </c>
      <c r="E104">
        <v>0</v>
      </c>
      <c r="F104" s="7">
        <f>129781+(1.179*B104)+(33.5281*C104)+(2969.11*D104)+(25645.7*E104)</f>
        <v>683409.81948000006</v>
      </c>
      <c r="G104" s="7">
        <f>A104-F104</f>
        <v>18642.650519999908</v>
      </c>
    </row>
    <row r="105" spans="1:7">
      <c r="A105">
        <v>712868.35</v>
      </c>
      <c r="B105">
        <v>43319.94</v>
      </c>
      <c r="C105">
        <v>6551</v>
      </c>
      <c r="D105">
        <v>99</v>
      </c>
      <c r="E105">
        <v>0</v>
      </c>
      <c r="F105" s="7">
        <f>129781+(1.179*B105)+(33.5281*C105)+(2969.11*D105)+(25645.7*E105)</f>
        <v>694439.68235999998</v>
      </c>
      <c r="G105" s="7">
        <f>A105-F105</f>
        <v>18428.66764</v>
      </c>
    </row>
    <row r="106" spans="1:7">
      <c r="A106">
        <v>603297.56999999995</v>
      </c>
      <c r="B106">
        <v>49710.29</v>
      </c>
      <c r="C106">
        <v>5559</v>
      </c>
      <c r="D106">
        <v>71</v>
      </c>
      <c r="E106">
        <v>0</v>
      </c>
      <c r="F106" s="7">
        <f>129781+(1.179*B106)+(33.5281*C106)+(2969.11*D106)+(25645.7*E106)</f>
        <v>585578.94981000002</v>
      </c>
      <c r="G106" s="7">
        <f>A106-F106</f>
        <v>17718.620189999929</v>
      </c>
    </row>
    <row r="107" spans="1:7">
      <c r="A107">
        <v>701641.97</v>
      </c>
      <c r="B107">
        <v>52715.1</v>
      </c>
      <c r="C107">
        <v>7223</v>
      </c>
      <c r="D107">
        <v>84.2</v>
      </c>
      <c r="E107">
        <v>0</v>
      </c>
      <c r="F107" s="7">
        <f>129781+(1.179*B107)+(33.5281*C107)+(2969.11*D107)+(25645.7*E107)</f>
        <v>684104.63120000006</v>
      </c>
      <c r="G107" s="7">
        <f>A107-F107</f>
        <v>17537.33879999991</v>
      </c>
    </row>
    <row r="108" spans="1:7">
      <c r="A108">
        <v>820729.29</v>
      </c>
      <c r="B108">
        <v>78432.14</v>
      </c>
      <c r="C108">
        <v>9440</v>
      </c>
      <c r="D108">
        <v>89.2</v>
      </c>
      <c r="E108">
        <v>0</v>
      </c>
      <c r="F108" s="7">
        <f>129781+(1.179*B108)+(33.5281*C108)+(2969.11*D108)+(25645.7*E108)</f>
        <v>803602.36905999994</v>
      </c>
      <c r="G108" s="7">
        <f>A108-F108</f>
        <v>17126.920940000098</v>
      </c>
    </row>
    <row r="109" spans="1:7">
      <c r="A109">
        <v>676337.41</v>
      </c>
      <c r="B109">
        <v>51781.599999999999</v>
      </c>
      <c r="C109">
        <v>5648</v>
      </c>
      <c r="D109">
        <v>85.5</v>
      </c>
      <c r="E109">
        <v>1</v>
      </c>
      <c r="F109" s="7">
        <f>129781+(1.179*B109)+(33.5281*C109)+(2969.11*D109)+(25645.7*E109)</f>
        <v>659702.82019999996</v>
      </c>
      <c r="G109" s="7">
        <f>A109-F109</f>
        <v>16634.589800000074</v>
      </c>
    </row>
    <row r="110" spans="1:7">
      <c r="A110">
        <v>532644.46</v>
      </c>
      <c r="B110">
        <v>46123.88</v>
      </c>
      <c r="C110">
        <v>3227</v>
      </c>
      <c r="D110">
        <v>75.400000000000006</v>
      </c>
      <c r="E110">
        <v>0</v>
      </c>
      <c r="F110" s="7">
        <f>129781+(1.179*B110)+(33.5281*C110)+(2969.11*D110)+(25645.7*E110)</f>
        <v>516227.12722000002</v>
      </c>
      <c r="G110" s="7">
        <f>A110-F110</f>
        <v>16417.332779999939</v>
      </c>
    </row>
    <row r="111" spans="1:7">
      <c r="A111">
        <v>729424.42</v>
      </c>
      <c r="B111">
        <v>70012.41</v>
      </c>
      <c r="C111">
        <v>8484</v>
      </c>
      <c r="D111">
        <v>72.900000000000006</v>
      </c>
      <c r="E111">
        <v>0</v>
      </c>
      <c r="F111" s="7">
        <f>129781+(1.179*B111)+(33.5281*C111)+(2969.11*D111)+(25645.7*E111)</f>
        <v>713226.1507900001</v>
      </c>
      <c r="G111" s="7">
        <f>A111-F111</f>
        <v>16198.26920999994</v>
      </c>
    </row>
    <row r="112" spans="1:7">
      <c r="A112">
        <v>712375.77</v>
      </c>
      <c r="B112">
        <v>62507.16</v>
      </c>
      <c r="C112">
        <v>6000</v>
      </c>
      <c r="D112">
        <v>98.2</v>
      </c>
      <c r="E112">
        <v>0</v>
      </c>
      <c r="F112" s="7">
        <f>129781+(1.179*B112)+(33.5281*C112)+(2969.11*D112)+(25645.7*E112)</f>
        <v>696212.14364000002</v>
      </c>
      <c r="G112" s="7">
        <f>A112-F112</f>
        <v>16163.626359999995</v>
      </c>
    </row>
    <row r="113" spans="1:7">
      <c r="A113">
        <v>605178</v>
      </c>
      <c r="B113">
        <v>64882.14</v>
      </c>
      <c r="C113">
        <v>3642</v>
      </c>
      <c r="D113">
        <v>87.8</v>
      </c>
      <c r="E113">
        <v>0</v>
      </c>
      <c r="F113" s="7">
        <f>129781+(1.179*B113)+(33.5281*C113)+(2969.11*D113)+(25645.7*E113)</f>
        <v>589074.24126000004</v>
      </c>
      <c r="G113" s="7">
        <f>A113-F113</f>
        <v>16103.758739999961</v>
      </c>
    </row>
    <row r="114" spans="1:7">
      <c r="A114">
        <v>737070.18</v>
      </c>
      <c r="B114">
        <v>26248.1</v>
      </c>
      <c r="C114">
        <v>9314</v>
      </c>
      <c r="D114">
        <v>83.7</v>
      </c>
      <c r="E114">
        <v>0</v>
      </c>
      <c r="F114" s="7">
        <f>129781+(1.179*B114)+(33.5281*C114)+(2969.11*D114)+(25645.7*E114)</f>
        <v>721522.74030000006</v>
      </c>
      <c r="G114" s="7">
        <f>A114-F114</f>
        <v>15547.439699999988</v>
      </c>
    </row>
    <row r="115" spans="1:7">
      <c r="A115">
        <v>746115.59</v>
      </c>
      <c r="B115">
        <v>44189.34</v>
      </c>
      <c r="C115">
        <v>8634</v>
      </c>
      <c r="D115">
        <v>87.5</v>
      </c>
      <c r="E115">
        <v>0</v>
      </c>
      <c r="F115" s="7">
        <f>129781+(1.179*B115)+(33.5281*C115)+(2969.11*D115)+(25645.7*E115)</f>
        <v>731158.97225999995</v>
      </c>
      <c r="G115" s="7">
        <f>A115-F115</f>
        <v>14956.617740000016</v>
      </c>
    </row>
    <row r="116" spans="1:7">
      <c r="A116">
        <v>776992.93</v>
      </c>
      <c r="B116">
        <v>69900.12</v>
      </c>
      <c r="C116">
        <v>8055</v>
      </c>
      <c r="D116">
        <v>85.6</v>
      </c>
      <c r="E116">
        <v>1</v>
      </c>
      <c r="F116" s="7">
        <f>129781+(1.179*B116)+(33.5281*C116)+(2969.11*D116)+(25645.7*E116)</f>
        <v>762063.60297999997</v>
      </c>
      <c r="G116" s="7">
        <f>A116-F116</f>
        <v>14929.327020000084</v>
      </c>
    </row>
    <row r="117" spans="1:7">
      <c r="A117">
        <v>646559.71</v>
      </c>
      <c r="B117">
        <v>44211.95</v>
      </c>
      <c r="C117">
        <v>5465</v>
      </c>
      <c r="D117">
        <v>90</v>
      </c>
      <c r="E117">
        <v>0</v>
      </c>
      <c r="F117" s="7">
        <f>129781+(1.179*B117)+(33.5281*C117)+(2969.11*D117)+(25645.7*E117)</f>
        <v>632357.85554999998</v>
      </c>
      <c r="G117" s="7">
        <f>A117-F117</f>
        <v>14201.854449999984</v>
      </c>
    </row>
    <row r="118" spans="1:7">
      <c r="A118">
        <v>533121.26</v>
      </c>
      <c r="B118">
        <v>40102.879999999997</v>
      </c>
      <c r="C118">
        <v>2358</v>
      </c>
      <c r="D118">
        <v>88.7</v>
      </c>
      <c r="E118">
        <v>0</v>
      </c>
      <c r="F118" s="7">
        <f>129781+(1.179*B118)+(33.5281*C118)+(2969.11*D118)+(25645.7*E118)</f>
        <v>519481.61232000001</v>
      </c>
      <c r="G118" s="7">
        <f>A118-F118</f>
        <v>13639.647679999995</v>
      </c>
    </row>
    <row r="119" spans="1:7">
      <c r="A119">
        <v>606783.67000000004</v>
      </c>
      <c r="B119">
        <v>40923.67</v>
      </c>
      <c r="C119">
        <v>3875</v>
      </c>
      <c r="D119">
        <v>96.1</v>
      </c>
      <c r="E119">
        <v>0</v>
      </c>
      <c r="F119" s="7">
        <f>129781+(1.179*B119)+(33.5281*C119)+(2969.11*D119)+(25645.7*E119)</f>
        <v>593282.86543000001</v>
      </c>
      <c r="G119" s="7">
        <f>A119-F119</f>
        <v>13500.804570000037</v>
      </c>
    </row>
    <row r="120" spans="1:7">
      <c r="A120">
        <v>806615.54</v>
      </c>
      <c r="B120">
        <v>46213.45</v>
      </c>
      <c r="C120">
        <v>10616</v>
      </c>
      <c r="D120">
        <v>85.2</v>
      </c>
      <c r="E120">
        <v>0</v>
      </c>
      <c r="F120" s="7">
        <f>129781+(1.179*B120)+(33.5281*C120)+(2969.11*D120)+(25645.7*E120)</f>
        <v>793169.13915000006</v>
      </c>
      <c r="G120" s="7">
        <f>A120-F120</f>
        <v>13446.400849999976</v>
      </c>
    </row>
    <row r="121" spans="1:7">
      <c r="A121">
        <v>836908.24</v>
      </c>
      <c r="B121">
        <v>47391.09</v>
      </c>
      <c r="C121">
        <v>11224</v>
      </c>
      <c r="D121">
        <v>88.4</v>
      </c>
      <c r="E121">
        <v>0</v>
      </c>
      <c r="F121" s="7">
        <f>129781+(1.179*B121)+(33.5281*C121)+(2969.11*D121)+(25645.7*E121)</f>
        <v>824443.81351000001</v>
      </c>
      <c r="G121" s="7">
        <f>A121-F121</f>
        <v>12464.426489999983</v>
      </c>
    </row>
    <row r="122" spans="1:7">
      <c r="A122">
        <v>640666.53</v>
      </c>
      <c r="B122">
        <v>62582.71</v>
      </c>
      <c r="C122">
        <v>5479</v>
      </c>
      <c r="D122">
        <v>81.2</v>
      </c>
      <c r="E122">
        <v>0</v>
      </c>
      <c r="F122" s="7">
        <f>129781+(1.179*B122)+(33.5281*C122)+(2969.11*D122)+(25645.7*E122)</f>
        <v>628358.20699000009</v>
      </c>
      <c r="G122" s="7">
        <f>A122-F122</f>
        <v>12308.323009999935</v>
      </c>
    </row>
    <row r="123" spans="1:7">
      <c r="A123">
        <v>802001.68</v>
      </c>
      <c r="B123">
        <v>76942.2</v>
      </c>
      <c r="C123">
        <v>8934</v>
      </c>
      <c r="D123">
        <v>91</v>
      </c>
      <c r="E123">
        <v>0</v>
      </c>
      <c r="F123" s="7">
        <f>129781+(1.179*B123)+(33.5281*C123)+(2969.11*D123)+(25645.7*E123)</f>
        <v>790224.90919999999</v>
      </c>
      <c r="G123" s="7">
        <f>A123-F123</f>
        <v>11776.770800000057</v>
      </c>
    </row>
    <row r="124" spans="1:7">
      <c r="A124">
        <v>528852.62</v>
      </c>
      <c r="B124">
        <v>14519.37</v>
      </c>
      <c r="C124">
        <v>3047</v>
      </c>
      <c r="D124">
        <v>90.3</v>
      </c>
      <c r="E124">
        <v>0</v>
      </c>
      <c r="F124" s="7">
        <f>129781+(1.179*B124)+(33.5281*C124)+(2969.11*D124)+(25645.7*E124)</f>
        <v>517170.09093000006</v>
      </c>
      <c r="G124" s="7">
        <f>A124-F124</f>
        <v>11682.529069999931</v>
      </c>
    </row>
    <row r="125" spans="1:7">
      <c r="A125">
        <v>664162.49</v>
      </c>
      <c r="B125">
        <v>69411.7</v>
      </c>
      <c r="C125">
        <v>5493</v>
      </c>
      <c r="D125">
        <v>86.5</v>
      </c>
      <c r="E125">
        <v>0</v>
      </c>
      <c r="F125" s="7">
        <f>129781+(1.179*B125)+(33.5281*C125)+(2969.11*D125)+(25645.7*E125)</f>
        <v>652615.26260000002</v>
      </c>
      <c r="G125" s="7">
        <f>A125-F125</f>
        <v>11547.227399999974</v>
      </c>
    </row>
    <row r="126" spans="1:7">
      <c r="A126">
        <v>645039.97</v>
      </c>
      <c r="B126">
        <v>50532.17</v>
      </c>
      <c r="C126">
        <v>5689</v>
      </c>
      <c r="D126">
        <v>85.6</v>
      </c>
      <c r="E126">
        <v>0</v>
      </c>
      <c r="F126" s="7">
        <f>129781+(1.179*B126)+(33.5281*C126)+(2969.11*D126)+(25645.7*E126)</f>
        <v>634255.60532999993</v>
      </c>
      <c r="G126" s="7">
        <f>A126-F126</f>
        <v>10784.364670000039</v>
      </c>
    </row>
    <row r="127" spans="1:7">
      <c r="A127">
        <v>887537.75</v>
      </c>
      <c r="B127">
        <v>67494.09</v>
      </c>
      <c r="C127">
        <v>12361</v>
      </c>
      <c r="D127">
        <v>76.599999999999994</v>
      </c>
      <c r="E127">
        <v>1</v>
      </c>
      <c r="F127" s="7">
        <f>129781+(1.179*B127)+(33.5281*C127)+(2969.11*D127)+(25645.7*E127)</f>
        <v>876876.90220999997</v>
      </c>
      <c r="G127" s="7">
        <f>A127-F127</f>
        <v>10660.847790000029</v>
      </c>
    </row>
    <row r="128" spans="1:7">
      <c r="A128">
        <v>740496.65</v>
      </c>
      <c r="B128">
        <v>42018.400000000001</v>
      </c>
      <c r="C128">
        <v>8296</v>
      </c>
      <c r="D128">
        <v>91.8</v>
      </c>
      <c r="E128">
        <v>0</v>
      </c>
      <c r="F128" s="7">
        <f>129781+(1.179*B128)+(33.5281*C128)+(2969.11*D128)+(25645.7*E128)</f>
        <v>730034.10920000006</v>
      </c>
      <c r="G128" s="7">
        <f>A128-F128</f>
        <v>10462.540799999959</v>
      </c>
    </row>
    <row r="129" spans="1:7">
      <c r="A129">
        <v>674289.1</v>
      </c>
      <c r="B129">
        <v>69180.539999999994</v>
      </c>
      <c r="C129">
        <v>5394</v>
      </c>
      <c r="D129">
        <v>82.9</v>
      </c>
      <c r="E129">
        <v>1</v>
      </c>
      <c r="F129" s="7">
        <f>129781+(1.179*B129)+(33.5281*C129)+(2969.11*D129)+(25645.7*E129)</f>
        <v>663980.34706000006</v>
      </c>
      <c r="G129" s="7">
        <f>A129-F129</f>
        <v>10308.752939999918</v>
      </c>
    </row>
    <row r="130" spans="1:7">
      <c r="A130">
        <v>592195.85</v>
      </c>
      <c r="B130">
        <v>40462.94</v>
      </c>
      <c r="C130">
        <v>3660</v>
      </c>
      <c r="D130">
        <v>95.2</v>
      </c>
      <c r="E130">
        <v>0</v>
      </c>
      <c r="F130" s="7">
        <f>129781+(1.179*B130)+(33.5281*C130)+(2969.11*D130)+(25645.7*E130)</f>
        <v>582858.92426</v>
      </c>
      <c r="G130" s="7">
        <f>A130-F130</f>
        <v>9336.9257399999769</v>
      </c>
    </row>
    <row r="131" spans="1:7">
      <c r="A131">
        <v>712546.38</v>
      </c>
      <c r="B131">
        <v>72784.800000000003</v>
      </c>
      <c r="C131">
        <v>7932</v>
      </c>
      <c r="D131">
        <v>74.900000000000006</v>
      </c>
      <c r="E131">
        <v>0</v>
      </c>
      <c r="F131" s="7">
        <f>129781+(1.179*B131)+(33.5281*C131)+(2969.11*D131)+(25645.7*E131)</f>
        <v>703925.5074</v>
      </c>
      <c r="G131" s="7">
        <f>A131-F131</f>
        <v>8620.8726000000024</v>
      </c>
    </row>
    <row r="132" spans="1:7">
      <c r="A132">
        <v>828623.85</v>
      </c>
      <c r="B132">
        <v>65012.19</v>
      </c>
      <c r="C132">
        <v>9598</v>
      </c>
      <c r="D132">
        <v>98.3</v>
      </c>
      <c r="E132">
        <v>0</v>
      </c>
      <c r="F132" s="7">
        <f>129781+(1.179*B132)+(33.5281*C132)+(2969.11*D132)+(25645.7*E132)</f>
        <v>820096.5888100001</v>
      </c>
      <c r="G132" s="7">
        <f>A132-F132</f>
        <v>8527.2611899998737</v>
      </c>
    </row>
    <row r="133" spans="1:7">
      <c r="A133">
        <v>698492.67</v>
      </c>
      <c r="B133">
        <v>64374.75</v>
      </c>
      <c r="C133">
        <v>6740</v>
      </c>
      <c r="D133">
        <v>87</v>
      </c>
      <c r="E133">
        <v>0</v>
      </c>
      <c r="F133" s="7">
        <f>129781+(1.179*B133)+(33.5281*C133)+(2969.11*D133)+(25645.7*E133)</f>
        <v>689970.79425000004</v>
      </c>
      <c r="G133" s="7">
        <f>A133-F133</f>
        <v>8521.8757500000065</v>
      </c>
    </row>
    <row r="134" spans="1:7">
      <c r="A134">
        <v>585365.73</v>
      </c>
      <c r="B134">
        <v>42093.84</v>
      </c>
      <c r="C134">
        <v>4074</v>
      </c>
      <c r="D134">
        <v>88</v>
      </c>
      <c r="E134">
        <v>0</v>
      </c>
      <c r="F134" s="7">
        <f>129781+(1.179*B134)+(33.5281*C134)+(2969.11*D134)+(25645.7*E134)</f>
        <v>577284.79676000006</v>
      </c>
      <c r="G134" s="7">
        <f>A134-F134</f>
        <v>8080.9332399999257</v>
      </c>
    </row>
    <row r="135" spans="1:7">
      <c r="A135">
        <v>810446.53</v>
      </c>
      <c r="B135">
        <v>63457.19</v>
      </c>
      <c r="C135">
        <v>10125</v>
      </c>
      <c r="D135">
        <v>87</v>
      </c>
      <c r="E135">
        <v>0</v>
      </c>
      <c r="F135" s="7">
        <f>129781+(1.179*B135)+(33.5281*C135)+(2969.11*D135)+(25645.7*E135)</f>
        <v>802381.6095100001</v>
      </c>
      <c r="G135" s="7">
        <f>A135-F135</f>
        <v>8064.9204899999313</v>
      </c>
    </row>
    <row r="136" spans="1:7">
      <c r="A136">
        <v>536545.49</v>
      </c>
      <c r="B136">
        <v>57225.98</v>
      </c>
      <c r="C136">
        <v>2842</v>
      </c>
      <c r="D136">
        <v>79.5</v>
      </c>
      <c r="E136">
        <v>0</v>
      </c>
      <c r="F136" s="7">
        <f>129781+(1.179*B136)+(33.5281*C136)+(2969.11*D136)+(25645.7*E136)</f>
        <v>528581.53561999998</v>
      </c>
      <c r="G136" s="7">
        <f>A136-F136</f>
        <v>7963.9543800000101</v>
      </c>
    </row>
    <row r="137" spans="1:7">
      <c r="A137">
        <v>550962.93000000005</v>
      </c>
      <c r="B137">
        <v>55788.61</v>
      </c>
      <c r="C137">
        <v>2312</v>
      </c>
      <c r="D137">
        <v>91.3</v>
      </c>
      <c r="E137">
        <v>0</v>
      </c>
      <c r="F137" s="7">
        <f>129781+(1.179*B137)+(33.5281*C137)+(2969.11*D137)+(25645.7*E137)</f>
        <v>544152.48139000009</v>
      </c>
      <c r="G137" s="7">
        <f>A137-F137</f>
        <v>6810.4486099999631</v>
      </c>
    </row>
    <row r="138" spans="1:7">
      <c r="A138">
        <v>712219.81</v>
      </c>
      <c r="B138">
        <v>53367.73</v>
      </c>
      <c r="C138">
        <v>7291</v>
      </c>
      <c r="D138">
        <v>90.6</v>
      </c>
      <c r="E138">
        <v>0</v>
      </c>
      <c r="F138" s="7">
        <f>129781+(1.179*B138)+(33.5281*C138)+(2969.11*D138)+(25645.7*E138)</f>
        <v>706156.2967699999</v>
      </c>
      <c r="G138" s="7">
        <f>A138-F138</f>
        <v>6063.5132300001569</v>
      </c>
    </row>
    <row r="139" spans="1:7">
      <c r="A139">
        <v>605775.32999999996</v>
      </c>
      <c r="B139">
        <v>38752.800000000003</v>
      </c>
      <c r="C139">
        <v>4712</v>
      </c>
      <c r="D139">
        <v>89.7</v>
      </c>
      <c r="E139">
        <v>0</v>
      </c>
      <c r="F139" s="7">
        <f>129781+(1.179*B139)+(33.5281*C139)+(2969.11*D139)+(25645.7*E139)</f>
        <v>599784.12540000002</v>
      </c>
      <c r="G139" s="7">
        <f>A139-F139</f>
        <v>5991.2045999999391</v>
      </c>
    </row>
    <row r="140" spans="1:7">
      <c r="A140">
        <v>498970.32</v>
      </c>
      <c r="B140">
        <v>59825.51</v>
      </c>
      <c r="C140">
        <v>1231</v>
      </c>
      <c r="D140">
        <v>84.8</v>
      </c>
      <c r="E140">
        <v>0</v>
      </c>
      <c r="F140" s="7">
        <f>129781+(1.179*B140)+(33.5281*C140)+(2969.11*D140)+(25645.7*E140)</f>
        <v>493368.89539000002</v>
      </c>
      <c r="G140" s="7">
        <f>A140-F140</f>
        <v>5601.4246099999873</v>
      </c>
    </row>
    <row r="141" spans="1:7">
      <c r="A141">
        <v>855341.28</v>
      </c>
      <c r="B141">
        <v>68491.11</v>
      </c>
      <c r="C141">
        <v>11154</v>
      </c>
      <c r="D141">
        <v>89.4</v>
      </c>
      <c r="E141">
        <v>0</v>
      </c>
      <c r="F141" s="7">
        <f>129781+(1.179*B141)+(33.5281*C141)+(2969.11*D141)+(25645.7*E141)</f>
        <v>849942.88008999999</v>
      </c>
      <c r="G141" s="7">
        <f>A141-F141</f>
        <v>5398.3999100000365</v>
      </c>
    </row>
    <row r="142" spans="1:7">
      <c r="A142">
        <v>605751.32999999996</v>
      </c>
      <c r="B142">
        <v>43288.2</v>
      </c>
      <c r="C142">
        <v>4783</v>
      </c>
      <c r="D142">
        <v>87.3</v>
      </c>
      <c r="E142">
        <v>0</v>
      </c>
      <c r="F142" s="7">
        <f>129781+(1.179*B142)+(33.5281*C142)+(2969.11*D142)+(25645.7*E142)</f>
        <v>600385.99310000008</v>
      </c>
      <c r="G142" s="7">
        <f>A142-F142</f>
        <v>5365.3368999998784</v>
      </c>
    </row>
    <row r="143" spans="1:7">
      <c r="A143">
        <v>697155.3</v>
      </c>
      <c r="B143">
        <v>37828.5</v>
      </c>
      <c r="C143">
        <v>8221</v>
      </c>
      <c r="D143">
        <v>81.5</v>
      </c>
      <c r="E143">
        <v>0</v>
      </c>
      <c r="F143" s="7">
        <f>129781+(1.179*B143)+(33.5281*C143)+(2969.11*D143)+(25645.7*E143)</f>
        <v>691997.77659999998</v>
      </c>
      <c r="G143" s="7">
        <f>A143-F143</f>
        <v>5157.5234000000637</v>
      </c>
    </row>
    <row r="144" spans="1:7">
      <c r="A144">
        <v>691113.62</v>
      </c>
      <c r="B144">
        <v>61132.07</v>
      </c>
      <c r="C144">
        <v>6394</v>
      </c>
      <c r="D144">
        <v>91</v>
      </c>
      <c r="E144">
        <v>0</v>
      </c>
      <c r="F144" s="7">
        <f>129781+(1.179*B144)+(33.5281*C144)+(2969.11*D144)+(25645.7*E144)</f>
        <v>686423.39193000004</v>
      </c>
      <c r="G144" s="7">
        <f>A144-F144</f>
        <v>4690.2280699999537</v>
      </c>
    </row>
    <row r="145" spans="1:7">
      <c r="A145">
        <v>750471.34</v>
      </c>
      <c r="B145">
        <v>48060.78</v>
      </c>
      <c r="C145">
        <v>8733</v>
      </c>
      <c r="D145">
        <v>89.9</v>
      </c>
      <c r="E145">
        <v>0</v>
      </c>
      <c r="F145" s="7">
        <f>129781+(1.179*B145)+(33.5281*C145)+(2969.11*D145)+(25645.7*E145)</f>
        <v>746168.54591999995</v>
      </c>
      <c r="G145" s="7">
        <f>A145-F145</f>
        <v>4302.7940800000215</v>
      </c>
    </row>
    <row r="146" spans="1:7">
      <c r="A146">
        <v>497439.82</v>
      </c>
      <c r="B146">
        <v>18599.21</v>
      </c>
      <c r="C146">
        <v>3027</v>
      </c>
      <c r="D146">
        <v>80.900000000000006</v>
      </c>
      <c r="E146">
        <v>0</v>
      </c>
      <c r="F146" s="7">
        <f>129781+(1.179*B146)+(33.5281*C146)+(2969.11*D146)+(25645.7*E146)</f>
        <v>493400.02629000007</v>
      </c>
      <c r="G146" s="7">
        <f>A146-F146</f>
        <v>4039.7937099999399</v>
      </c>
    </row>
    <row r="147" spans="1:7">
      <c r="A147">
        <v>724346.73</v>
      </c>
      <c r="B147">
        <v>63986.98</v>
      </c>
      <c r="C147">
        <v>7989</v>
      </c>
      <c r="D147">
        <v>83.3</v>
      </c>
      <c r="E147">
        <v>0</v>
      </c>
      <c r="F147" s="7">
        <f>129781+(1.179*B147)+(33.5281*C147)+(2969.11*D147)+(25645.7*E147)</f>
        <v>720404.50332000002</v>
      </c>
      <c r="G147" s="7">
        <f>A147-F147</f>
        <v>3942.2266799999634</v>
      </c>
    </row>
    <row r="148" spans="1:7">
      <c r="A148">
        <v>670629.48</v>
      </c>
      <c r="B148">
        <v>47944.14</v>
      </c>
      <c r="C148">
        <v>6169</v>
      </c>
      <c r="D148">
        <v>92.2</v>
      </c>
      <c r="E148">
        <v>0</v>
      </c>
      <c r="F148" s="7">
        <f>129781+(1.179*B148)+(33.5281*C148)+(2969.11*D148)+(25645.7*E148)</f>
        <v>666893.93196000007</v>
      </c>
      <c r="G148" s="7">
        <f>A148-F148</f>
        <v>3735.5480399999069</v>
      </c>
    </row>
    <row r="149" spans="1:7">
      <c r="A149">
        <v>783672.82</v>
      </c>
      <c r="B149">
        <v>55270.52</v>
      </c>
      <c r="C149">
        <v>9315</v>
      </c>
      <c r="D149">
        <v>91.9</v>
      </c>
      <c r="E149">
        <v>0</v>
      </c>
      <c r="F149" s="7">
        <f>129781+(1.179*B149)+(33.5281*C149)+(2969.11*D149)+(25645.7*E149)</f>
        <v>780120.40358000004</v>
      </c>
      <c r="G149" s="7">
        <f>A149-F149</f>
        <v>3552.4164199999068</v>
      </c>
    </row>
    <row r="150" spans="1:7">
      <c r="A150">
        <v>605023.87</v>
      </c>
      <c r="B150">
        <v>60571.82</v>
      </c>
      <c r="C150">
        <v>3193</v>
      </c>
      <c r="D150">
        <v>99</v>
      </c>
      <c r="E150">
        <v>0</v>
      </c>
      <c r="F150" s="7">
        <f>129781+(1.179*B150)+(33.5281*C150)+(2969.11*D150)+(25645.7*E150)</f>
        <v>602192.28908000002</v>
      </c>
      <c r="G150" s="7">
        <f>A150-F150</f>
        <v>2831.5809199999785</v>
      </c>
    </row>
    <row r="151" spans="1:7">
      <c r="A151">
        <v>614596.31999999995</v>
      </c>
      <c r="B151">
        <v>78231.91</v>
      </c>
      <c r="C151">
        <v>3788</v>
      </c>
      <c r="D151">
        <v>88.5</v>
      </c>
      <c r="E151">
        <v>0</v>
      </c>
      <c r="F151" s="7">
        <f>129781+(1.179*B151)+(33.5281*C151)+(2969.11*D151)+(25645.7*E151)</f>
        <v>611787.09969000006</v>
      </c>
      <c r="G151" s="7">
        <f>A151-F151</f>
        <v>2809.2203099998878</v>
      </c>
    </row>
    <row r="152" spans="1:7">
      <c r="A152">
        <v>665594.93999999994</v>
      </c>
      <c r="B152">
        <v>31042.03</v>
      </c>
      <c r="C152">
        <v>7107</v>
      </c>
      <c r="D152">
        <v>87</v>
      </c>
      <c r="E152">
        <v>0</v>
      </c>
      <c r="F152" s="7">
        <f>129781+(1.179*B152)+(33.5281*C152)+(2969.11*D152)+(25645.7*E152)</f>
        <v>662976.33007000003</v>
      </c>
      <c r="G152" s="7">
        <f>A152-F152</f>
        <v>2618.6099299999187</v>
      </c>
    </row>
    <row r="153" spans="1:7">
      <c r="A153">
        <v>730890.01</v>
      </c>
      <c r="B153">
        <v>52843.75</v>
      </c>
      <c r="C153">
        <v>8268</v>
      </c>
      <c r="D153">
        <v>87.3</v>
      </c>
      <c r="E153">
        <v>0</v>
      </c>
      <c r="F153" s="7">
        <f>129781+(1.179*B153)+(33.5281*C153)+(2969.11*D153)+(25645.7*E153)</f>
        <v>728497.41504999995</v>
      </c>
      <c r="G153" s="7">
        <f>A153-F153</f>
        <v>2392.594950000057</v>
      </c>
    </row>
    <row r="154" spans="1:7">
      <c r="A154">
        <v>609949</v>
      </c>
      <c r="B154">
        <v>55371.97</v>
      </c>
      <c r="C154">
        <v>4162</v>
      </c>
      <c r="D154">
        <v>92</v>
      </c>
      <c r="E154">
        <v>0</v>
      </c>
      <c r="F154" s="7">
        <f>129781+(1.179*B154)+(33.5281*C154)+(2969.11*D154)+(25645.7*E154)</f>
        <v>607766.62482999999</v>
      </c>
      <c r="G154" s="7">
        <f>A154-F154</f>
        <v>2182.3751700000139</v>
      </c>
    </row>
    <row r="155" spans="1:7">
      <c r="A155">
        <v>692008.64</v>
      </c>
      <c r="B155">
        <v>66870.62</v>
      </c>
      <c r="C155">
        <v>6055</v>
      </c>
      <c r="D155">
        <v>93.8</v>
      </c>
      <c r="E155">
        <v>0</v>
      </c>
      <c r="F155" s="7">
        <f>129781+(1.179*B155)+(33.5281*C155)+(2969.11*D155)+(25645.7*E155)</f>
        <v>690136.62448</v>
      </c>
      <c r="G155" s="7">
        <f>A155-F155</f>
        <v>1872.0155200000154</v>
      </c>
    </row>
    <row r="156" spans="1:7">
      <c r="A156">
        <v>565810.99</v>
      </c>
      <c r="B156">
        <v>62060.43</v>
      </c>
      <c r="C156">
        <v>2613</v>
      </c>
      <c r="D156">
        <v>92.1</v>
      </c>
      <c r="E156">
        <v>0</v>
      </c>
      <c r="F156" s="7">
        <f>129781+(1.179*B156)+(33.5281*C156)+(2969.11*D156)+(25645.7*E156)</f>
        <v>564014.20326999994</v>
      </c>
      <c r="G156" s="7">
        <f>A156-F156</f>
        <v>1796.7867300000507</v>
      </c>
    </row>
    <row r="157" spans="1:7">
      <c r="A157">
        <v>714942.43</v>
      </c>
      <c r="B157">
        <v>43685.14</v>
      </c>
      <c r="C157">
        <v>7821</v>
      </c>
      <c r="D157">
        <v>91</v>
      </c>
      <c r="E157">
        <v>0</v>
      </c>
      <c r="F157" s="7">
        <f>129781+(1.179*B157)+(33.5281*C157)+(2969.11*D157)+(25645.7*E157)</f>
        <v>713698.06016000011</v>
      </c>
      <c r="G157" s="7">
        <f>A157-F157</f>
        <v>1244.3698399999412</v>
      </c>
    </row>
    <row r="158" spans="1:7">
      <c r="A158">
        <v>536845.42000000004</v>
      </c>
      <c r="B158">
        <v>24088.06</v>
      </c>
      <c r="C158">
        <v>3466</v>
      </c>
      <c r="D158">
        <v>88</v>
      </c>
      <c r="E158">
        <v>0</v>
      </c>
      <c r="F158" s="7">
        <f>129781+(1.179*B158)+(33.5281*C158)+(2969.11*D158)+(25645.7*E158)</f>
        <v>535670.89734000002</v>
      </c>
      <c r="G158" s="7">
        <f>A158-F158</f>
        <v>1174.5226600000169</v>
      </c>
    </row>
    <row r="159" spans="1:7">
      <c r="A159">
        <v>751393.88</v>
      </c>
      <c r="B159">
        <v>45209.25</v>
      </c>
      <c r="C159">
        <v>9287</v>
      </c>
      <c r="D159">
        <v>86.4</v>
      </c>
      <c r="E159">
        <v>0</v>
      </c>
      <c r="F159" s="7">
        <f>129781+(1.179*B159)+(33.5281*C159)+(2969.11*D159)+(25645.7*E159)</f>
        <v>750989.27445000003</v>
      </c>
      <c r="G159" s="7">
        <f>A159-F159</f>
        <v>404.60554999997839</v>
      </c>
    </row>
    <row r="160" spans="1:7">
      <c r="A160">
        <v>783797.89</v>
      </c>
      <c r="B160">
        <v>74679.350000000006</v>
      </c>
      <c r="C160">
        <v>8739</v>
      </c>
      <c r="D160">
        <v>91.8</v>
      </c>
      <c r="E160">
        <v>0</v>
      </c>
      <c r="F160" s="7">
        <f>129781+(1.179*B160)+(33.5281*C160)+(2969.11*D160)+(25645.7*E160)</f>
        <v>783394.31755000004</v>
      </c>
      <c r="G160" s="7">
        <f>A160-F160</f>
        <v>403.57244999997783</v>
      </c>
    </row>
    <row r="161" spans="1:7">
      <c r="A161">
        <v>780344.18</v>
      </c>
      <c r="B161">
        <v>65237.79</v>
      </c>
      <c r="C161">
        <v>8741</v>
      </c>
      <c r="D161">
        <v>94.4</v>
      </c>
      <c r="E161">
        <v>0</v>
      </c>
      <c r="F161" s="7">
        <f>129781+(1.179*B161)+(33.5281*C161)+(2969.11*D161)+(25645.7*E161)</f>
        <v>780049.46051000012</v>
      </c>
      <c r="G161" s="7">
        <f>A161-F161</f>
        <v>294.71948999993037</v>
      </c>
    </row>
    <row r="162" spans="1:7">
      <c r="A162">
        <v>756619.77</v>
      </c>
      <c r="B162">
        <v>48609.41</v>
      </c>
      <c r="C162">
        <v>9324</v>
      </c>
      <c r="D162">
        <v>86.5</v>
      </c>
      <c r="E162">
        <v>0</v>
      </c>
      <c r="F162" s="7">
        <f>129781+(1.179*B162)+(33.5281*C162)+(2969.11*D162)+(25645.7*E162)</f>
        <v>756535.51379</v>
      </c>
      <c r="G162" s="7">
        <f>A162-F162</f>
        <v>84.256210000021383</v>
      </c>
    </row>
    <row r="163" spans="1:7">
      <c r="A163">
        <v>761077.08</v>
      </c>
      <c r="B163">
        <v>63010.23</v>
      </c>
      <c r="C163">
        <v>9812</v>
      </c>
      <c r="D163">
        <v>76.8</v>
      </c>
      <c r="E163">
        <v>0</v>
      </c>
      <c r="F163" s="7">
        <f>129781+(1.179*B163)+(33.5281*C163)+(2969.11*D163)+(25645.7*E163)</f>
        <v>761075.42637</v>
      </c>
      <c r="G163" s="7">
        <f>A163-F163</f>
        <v>1.6536299999570474</v>
      </c>
    </row>
    <row r="164" spans="1:7">
      <c r="A164">
        <v>450711.92</v>
      </c>
      <c r="B164">
        <v>18996.32</v>
      </c>
      <c r="C164">
        <v>1260</v>
      </c>
      <c r="D164">
        <v>86.4</v>
      </c>
      <c r="E164">
        <v>0</v>
      </c>
      <c r="F164" s="7">
        <f>129781+(1.179*B164)+(33.5281*C164)+(2969.11*D164)+(25645.7*E164)</f>
        <v>450954.17128000001</v>
      </c>
      <c r="G164" s="7">
        <f>A164-F164</f>
        <v>-242.25128000002587</v>
      </c>
    </row>
    <row r="165" spans="1:7">
      <c r="A165">
        <v>828219.67</v>
      </c>
      <c r="B165">
        <v>70799.64</v>
      </c>
      <c r="C165">
        <v>10076</v>
      </c>
      <c r="D165">
        <v>84.8</v>
      </c>
      <c r="E165">
        <v>1</v>
      </c>
      <c r="F165" s="7">
        <f>129781+(1.179*B165)+(33.5281*C165)+(2969.11*D165)+(25645.7*E165)</f>
        <v>828509.13916000002</v>
      </c>
      <c r="G165" s="7">
        <f>A165-F165</f>
        <v>-289.46915999997873</v>
      </c>
    </row>
    <row r="166" spans="1:7">
      <c r="A166">
        <v>700078.32</v>
      </c>
      <c r="B166">
        <v>86883.31</v>
      </c>
      <c r="C166">
        <v>6424</v>
      </c>
      <c r="D166">
        <v>85.2</v>
      </c>
      <c r="E166">
        <v>0</v>
      </c>
      <c r="F166" s="7">
        <f>129781+(1.179*B166)+(33.5281*C166)+(2969.11*D166)+(25645.7*E166)</f>
        <v>700569.10889000003</v>
      </c>
      <c r="G166" s="7">
        <f>A166-F166</f>
        <v>-490.78889000008348</v>
      </c>
    </row>
    <row r="167" spans="1:7">
      <c r="A167">
        <v>616069.41</v>
      </c>
      <c r="B167">
        <v>46201.46</v>
      </c>
      <c r="C167">
        <v>5918</v>
      </c>
      <c r="D167">
        <v>78.8</v>
      </c>
      <c r="E167">
        <v>0</v>
      </c>
      <c r="F167" s="7">
        <f>129781+(1.179*B167)+(33.5281*C167)+(2969.11*D167)+(25645.7*E167)</f>
        <v>616637.68514000007</v>
      </c>
      <c r="G167" s="7">
        <f>A167-F167</f>
        <v>-568.27514000004157</v>
      </c>
    </row>
    <row r="168" spans="1:7">
      <c r="A168">
        <v>665534.69999999995</v>
      </c>
      <c r="B168">
        <v>30301.86</v>
      </c>
      <c r="C168">
        <v>6939</v>
      </c>
      <c r="D168">
        <v>90.3</v>
      </c>
      <c r="E168">
        <v>0</v>
      </c>
      <c r="F168" s="7">
        <f>129781+(1.179*B168)+(33.5281*C168)+(2969.11*D168)+(25645.7*E168)</f>
        <v>666269.01184000005</v>
      </c>
      <c r="G168" s="7">
        <f>A168-F168</f>
        <v>-734.31184000009671</v>
      </c>
    </row>
    <row r="169" spans="1:7">
      <c r="A169">
        <v>668459.37</v>
      </c>
      <c r="B169">
        <v>55599.56</v>
      </c>
      <c r="C169">
        <v>5896</v>
      </c>
      <c r="D169">
        <v>93.1</v>
      </c>
      <c r="E169">
        <v>0</v>
      </c>
      <c r="F169" s="7">
        <f>129781+(1.179*B169)+(33.5281*C169)+(2969.11*D169)+(25645.7*E169)</f>
        <v>669438.69984000013</v>
      </c>
      <c r="G169" s="7">
        <f>A169-F169</f>
        <v>-979.32984000013676</v>
      </c>
    </row>
    <row r="170" spans="1:7">
      <c r="A170">
        <v>647953.78</v>
      </c>
      <c r="B170">
        <v>38361.93</v>
      </c>
      <c r="C170">
        <v>6322</v>
      </c>
      <c r="D170">
        <v>88.4</v>
      </c>
      <c r="E170">
        <v>0</v>
      </c>
      <c r="F170" s="7">
        <f>129781+(1.179*B170)+(33.5281*C170)+(2969.11*D170)+(25645.7*E170)</f>
        <v>649443.68767000001</v>
      </c>
      <c r="G170" s="7">
        <f>A170-F170</f>
        <v>-1489.907669999986</v>
      </c>
    </row>
    <row r="171" spans="1:7">
      <c r="A171">
        <v>559422.02</v>
      </c>
      <c r="B171">
        <v>40220.18</v>
      </c>
      <c r="C171">
        <v>3783</v>
      </c>
      <c r="D171">
        <v>86.6</v>
      </c>
      <c r="E171">
        <v>0</v>
      </c>
      <c r="F171" s="7">
        <f>129781+(1.179*B171)+(33.5281*C171)+(2969.11*D171)+(25645.7*E171)</f>
        <v>561162.32051999995</v>
      </c>
      <c r="G171" s="7">
        <f>A171-F171</f>
        <v>-1740.3005199999316</v>
      </c>
    </row>
    <row r="172" spans="1:7">
      <c r="A172">
        <v>736633.4</v>
      </c>
      <c r="B172">
        <v>93381.26</v>
      </c>
      <c r="C172">
        <v>7562</v>
      </c>
      <c r="D172">
        <v>82.9</v>
      </c>
      <c r="E172">
        <v>0</v>
      </c>
      <c r="F172" s="7">
        <f>129781+(1.179*B172)+(33.5281*C172)+(2969.11*D172)+(25645.7*E172)</f>
        <v>739556.21674000006</v>
      </c>
      <c r="G172" s="7">
        <f>A172-F172</f>
        <v>-2922.8167400000384</v>
      </c>
    </row>
    <row r="173" spans="1:7">
      <c r="A173">
        <v>761919.25</v>
      </c>
      <c r="B173">
        <v>59060.05</v>
      </c>
      <c r="C173">
        <v>9702</v>
      </c>
      <c r="D173">
        <v>80.900000000000006</v>
      </c>
      <c r="E173">
        <v>0</v>
      </c>
      <c r="F173" s="7">
        <f>129781+(1.179*B173)+(33.5281*C173)+(2969.11*D173)+(25645.7*E173)</f>
        <v>764903.42415000009</v>
      </c>
      <c r="G173" s="7">
        <f>A173-F173</f>
        <v>-2984.1741500000935</v>
      </c>
    </row>
    <row r="174" spans="1:7">
      <c r="A174">
        <v>702318.94</v>
      </c>
      <c r="B174">
        <v>42698.14</v>
      </c>
      <c r="C174">
        <v>7693</v>
      </c>
      <c r="D174">
        <v>90.1</v>
      </c>
      <c r="E174">
        <v>0</v>
      </c>
      <c r="F174" s="7">
        <f>129781+(1.179*B174)+(33.5281*C174)+(2969.11*D174)+(25645.7*E174)</f>
        <v>705570.59135999996</v>
      </c>
      <c r="G174" s="7">
        <f>A174-F174</f>
        <v>-3251.651360000018</v>
      </c>
    </row>
    <row r="175" spans="1:7">
      <c r="A175">
        <v>842439.67</v>
      </c>
      <c r="B175">
        <v>44747</v>
      </c>
      <c r="C175">
        <v>11076</v>
      </c>
      <c r="D175">
        <v>98.3</v>
      </c>
      <c r="E175">
        <v>0</v>
      </c>
      <c r="F175" s="7">
        <f>129781+(1.179*B175)+(33.5281*C175)+(2969.11*D175)+(25645.7*E175)</f>
        <v>845758.46160000004</v>
      </c>
      <c r="G175" s="7">
        <f>A175-F175</f>
        <v>-3318.7915999999968</v>
      </c>
    </row>
    <row r="176" spans="1:7">
      <c r="A176">
        <v>593247.25</v>
      </c>
      <c r="B176">
        <v>52285.45</v>
      </c>
      <c r="C176">
        <v>3618</v>
      </c>
      <c r="D176">
        <v>95.6</v>
      </c>
      <c r="E176">
        <v>0</v>
      </c>
      <c r="F176" s="7">
        <f>129781+(1.179*B176)+(33.5281*C176)+(2969.11*D176)+(25645.7*E176)</f>
        <v>596577.12734999997</v>
      </c>
      <c r="G176" s="7">
        <f>A176-F176</f>
        <v>-3329.8773499999661</v>
      </c>
    </row>
    <row r="177" spans="1:7">
      <c r="A177">
        <v>633009.53</v>
      </c>
      <c r="B177">
        <v>74539.14</v>
      </c>
      <c r="C177">
        <v>4487</v>
      </c>
      <c r="D177">
        <v>90.4</v>
      </c>
      <c r="E177">
        <v>0</v>
      </c>
      <c r="F177" s="7">
        <f>129781+(1.179*B177)+(33.5281*C177)+(2969.11*D177)+(25645.7*E177)</f>
        <v>636510.77476000006</v>
      </c>
      <c r="G177" s="7">
        <f>A177-F177</f>
        <v>-3501.2447600000305</v>
      </c>
    </row>
    <row r="178" spans="1:7">
      <c r="A178">
        <v>752321.72</v>
      </c>
      <c r="B178">
        <v>35296.54</v>
      </c>
      <c r="C178">
        <v>9644</v>
      </c>
      <c r="D178">
        <v>88</v>
      </c>
      <c r="E178">
        <v>0</v>
      </c>
      <c r="F178" s="7">
        <f>129781+(1.179*B178)+(33.5281*C178)+(2969.11*D178)+(25645.7*E178)</f>
        <v>756022.29706000001</v>
      </c>
      <c r="G178" s="7">
        <f>A178-F178</f>
        <v>-3700.5770600000396</v>
      </c>
    </row>
    <row r="179" spans="1:7">
      <c r="A179">
        <v>799756.46</v>
      </c>
      <c r="B179">
        <v>61995.3</v>
      </c>
      <c r="C179">
        <v>10192</v>
      </c>
      <c r="D179">
        <v>87.6</v>
      </c>
      <c r="E179">
        <v>0</v>
      </c>
      <c r="F179" s="7">
        <f>129781+(1.179*B179)+(33.5281*C179)+(2969.11*D179)+(25645.7*E179)</f>
        <v>804685.88989999995</v>
      </c>
      <c r="G179" s="7">
        <f>A179-F179</f>
        <v>-4929.4298999999883</v>
      </c>
    </row>
    <row r="180" spans="1:7">
      <c r="A180">
        <v>801830.35</v>
      </c>
      <c r="B180">
        <v>68410.929999999993</v>
      </c>
      <c r="C180">
        <v>10596</v>
      </c>
      <c r="D180">
        <v>81.2</v>
      </c>
      <c r="E180">
        <v>0</v>
      </c>
      <c r="F180" s="7">
        <f>129781+(1.179*B180)+(33.5281*C180)+(2969.11*D180)+(25645.7*E180)</f>
        <v>806792.96607000008</v>
      </c>
      <c r="G180" s="7">
        <f>A180-F180</f>
        <v>-4962.6160700001055</v>
      </c>
    </row>
    <row r="181" spans="1:7">
      <c r="A181">
        <v>677096.71</v>
      </c>
      <c r="B181">
        <v>57143.3</v>
      </c>
      <c r="C181">
        <v>8038</v>
      </c>
      <c r="D181">
        <v>72.599999999999994</v>
      </c>
      <c r="E181">
        <v>0</v>
      </c>
      <c r="F181" s="7">
        <f>129781+(1.179*B181)+(33.5281*C181)+(2969.11*D181)+(25645.7*E181)</f>
        <v>682209.20449999999</v>
      </c>
      <c r="G181" s="7">
        <f>A181-F181</f>
        <v>-5112.4945000000298</v>
      </c>
    </row>
    <row r="182" spans="1:7">
      <c r="A182">
        <v>810355.02</v>
      </c>
      <c r="B182">
        <v>72961.95</v>
      </c>
      <c r="C182">
        <v>9996</v>
      </c>
      <c r="D182">
        <v>89.1</v>
      </c>
      <c r="E182">
        <v>0</v>
      </c>
      <c r="F182" s="7">
        <f>129781+(1.179*B182)+(33.5281*C182)+(2969.11*D182)+(25645.7*E182)</f>
        <v>815497.72765000002</v>
      </c>
      <c r="G182" s="7">
        <f>A182-F182</f>
        <v>-5142.7076499999966</v>
      </c>
    </row>
    <row r="183" spans="1:7">
      <c r="A183">
        <v>672670.54</v>
      </c>
      <c r="B183">
        <v>27194.639999999999</v>
      </c>
      <c r="C183">
        <v>7404</v>
      </c>
      <c r="D183">
        <v>90.2</v>
      </c>
      <c r="E183">
        <v>0</v>
      </c>
      <c r="F183" s="7">
        <f>129781+(1.179*B183)+(33.5281*C183)+(2969.11*D183)+(25645.7*E183)</f>
        <v>677899.25496000005</v>
      </c>
      <c r="G183" s="7">
        <f>A183-F183</f>
        <v>-5228.7149600000121</v>
      </c>
    </row>
    <row r="184" spans="1:7">
      <c r="A184">
        <v>735480.19</v>
      </c>
      <c r="B184">
        <v>54968.98</v>
      </c>
      <c r="C184">
        <v>7816</v>
      </c>
      <c r="D184">
        <v>95.7</v>
      </c>
      <c r="E184">
        <v>0</v>
      </c>
      <c r="F184" s="7">
        <f>129781+(1.179*B184)+(33.5281*C184)+(2969.11*D184)+(25645.7*E184)</f>
        <v>740788.88402000011</v>
      </c>
      <c r="G184" s="7">
        <f>A184-F184</f>
        <v>-5308.69402000017</v>
      </c>
    </row>
    <row r="185" spans="1:7">
      <c r="A185">
        <v>819660.59</v>
      </c>
      <c r="B185">
        <v>57948.88</v>
      </c>
      <c r="C185">
        <v>10741</v>
      </c>
      <c r="D185">
        <v>90.1</v>
      </c>
      <c r="E185">
        <v>0</v>
      </c>
      <c r="F185" s="7">
        <f>129781+(1.179*B185)+(33.5281*C185)+(2969.11*D185)+(25645.7*E185)</f>
        <v>825744.86262000003</v>
      </c>
      <c r="G185" s="7">
        <f>A185-F185</f>
        <v>-6084.2726200000616</v>
      </c>
    </row>
    <row r="186" spans="1:7">
      <c r="A186">
        <v>763159.92</v>
      </c>
      <c r="B186">
        <v>53546.34</v>
      </c>
      <c r="C186">
        <v>8004</v>
      </c>
      <c r="D186">
        <v>95.2</v>
      </c>
      <c r="E186">
        <v>1</v>
      </c>
      <c r="F186" s="7">
        <f>129781+(1.179*B186)+(33.5281*C186)+(2969.11*D186)+(25645.7*E186)</f>
        <v>769576.01925999997</v>
      </c>
      <c r="G186" s="7">
        <f>A186-F186</f>
        <v>-6416.0992599999299</v>
      </c>
    </row>
    <row r="187" spans="1:7">
      <c r="A187">
        <v>636775.66</v>
      </c>
      <c r="B187">
        <v>60183.06</v>
      </c>
      <c r="C187">
        <v>5562</v>
      </c>
      <c r="D187">
        <v>86.3</v>
      </c>
      <c r="E187">
        <v>0</v>
      </c>
      <c r="F187" s="7">
        <f>129781+(1.179*B187)+(33.5281*C187)+(2969.11*D187)+(25645.7*E187)</f>
        <v>643454.31293999997</v>
      </c>
      <c r="G187" s="7">
        <f>A187-F187</f>
        <v>-6678.6529399999417</v>
      </c>
    </row>
    <row r="188" spans="1:7">
      <c r="A188">
        <v>537383.79</v>
      </c>
      <c r="B188">
        <v>63176.73</v>
      </c>
      <c r="C188">
        <v>2390</v>
      </c>
      <c r="D188">
        <v>87.5</v>
      </c>
      <c r="E188">
        <v>0</v>
      </c>
      <c r="F188" s="7">
        <f>129781+(1.179*B188)+(33.5281*C188)+(2969.11*D188)+(25645.7*E188)</f>
        <v>544195.64867000002</v>
      </c>
      <c r="G188" s="7">
        <f>A188-F188</f>
        <v>-6811.8586699999869</v>
      </c>
    </row>
    <row r="189" spans="1:7">
      <c r="A189">
        <v>643657.47</v>
      </c>
      <c r="B189">
        <v>56973.18</v>
      </c>
      <c r="C189">
        <v>6662</v>
      </c>
      <c r="D189">
        <v>77.7</v>
      </c>
      <c r="E189">
        <v>0</v>
      </c>
      <c r="F189" s="7">
        <f>129781+(1.179*B189)+(33.5281*C189)+(2969.11*D189)+(25645.7*E189)</f>
        <v>651016.42842000001</v>
      </c>
      <c r="G189" s="7">
        <f>A189-F189</f>
        <v>-7358.958420000039</v>
      </c>
    </row>
    <row r="190" spans="1:7">
      <c r="A190">
        <v>570964.84</v>
      </c>
      <c r="B190">
        <v>60322.400000000001</v>
      </c>
      <c r="C190">
        <v>3350</v>
      </c>
      <c r="D190">
        <v>89.4</v>
      </c>
      <c r="E190">
        <v>0</v>
      </c>
      <c r="F190" s="7">
        <f>129781+(1.179*B190)+(33.5281*C190)+(2969.11*D190)+(25645.7*E190)</f>
        <v>578658.67859999998</v>
      </c>
      <c r="G190" s="7">
        <f>A190-F190</f>
        <v>-7693.8386000000173</v>
      </c>
    </row>
    <row r="191" spans="1:7">
      <c r="A191">
        <v>764949</v>
      </c>
      <c r="B191">
        <v>81801.8</v>
      </c>
      <c r="C191">
        <v>6782</v>
      </c>
      <c r="D191">
        <v>99</v>
      </c>
      <c r="E191">
        <v>1</v>
      </c>
      <c r="F191" s="7">
        <f>129781+(1.179*B191)+(33.5281*C191)+(2969.11*D191)+(25645.7*E191)</f>
        <v>773200.48639999994</v>
      </c>
      <c r="G191" s="7">
        <f>A191-F191</f>
        <v>-8251.4863999999361</v>
      </c>
    </row>
    <row r="192" spans="1:7">
      <c r="A192">
        <v>732667.92</v>
      </c>
      <c r="B192">
        <v>66962.740000000005</v>
      </c>
      <c r="C192">
        <v>7880</v>
      </c>
      <c r="D192">
        <v>90.4</v>
      </c>
      <c r="E192">
        <v>0</v>
      </c>
      <c r="F192" s="7">
        <f>129781+(1.179*B192)+(33.5281*C192)+(2969.11*D192)+(25645.7*E192)</f>
        <v>741339.04246000014</v>
      </c>
      <c r="G192" s="7">
        <f>A192-F192</f>
        <v>-8671.1224600001005</v>
      </c>
    </row>
    <row r="193" spans="1:7">
      <c r="A193">
        <v>621677.30000000005</v>
      </c>
      <c r="B193">
        <v>54322.94</v>
      </c>
      <c r="C193">
        <v>5434</v>
      </c>
      <c r="D193">
        <v>85.7</v>
      </c>
      <c r="E193">
        <v>0</v>
      </c>
      <c r="F193" s="7">
        <f>129781+(1.179*B193)+(33.5281*C193)+(2969.11*D193)+(25645.7*E193)</f>
        <v>630472.16865999997</v>
      </c>
      <c r="G193" s="7">
        <f>A193-F193</f>
        <v>-8794.8686599999201</v>
      </c>
    </row>
    <row r="194" spans="1:7">
      <c r="A194">
        <v>798952.17</v>
      </c>
      <c r="B194">
        <v>74413.88</v>
      </c>
      <c r="C194">
        <v>9449</v>
      </c>
      <c r="D194">
        <v>92.1</v>
      </c>
      <c r="E194">
        <v>0</v>
      </c>
      <c r="F194" s="7">
        <f>129781+(1.179*B194)+(33.5281*C194)+(2969.11*D194)+(25645.7*E194)</f>
        <v>807777.01242000004</v>
      </c>
      <c r="G194" s="7">
        <f>A194-F194</f>
        <v>-8824.8424200000009</v>
      </c>
    </row>
    <row r="195" spans="1:7">
      <c r="A195">
        <v>642751.42000000004</v>
      </c>
      <c r="B195">
        <v>72932.55</v>
      </c>
      <c r="C195">
        <v>5765</v>
      </c>
      <c r="D195">
        <v>81.8</v>
      </c>
      <c r="E195">
        <v>0</v>
      </c>
      <c r="F195" s="7">
        <f>129781+(1.179*B195)+(33.5281*C195)+(2969.11*D195)+(25645.7*E195)</f>
        <v>651931.17095000006</v>
      </c>
      <c r="G195" s="7">
        <f>A195-F195</f>
        <v>-9179.750950000016</v>
      </c>
    </row>
    <row r="196" spans="1:7">
      <c r="A196">
        <v>572011.19999999995</v>
      </c>
      <c r="B196">
        <v>50343.19</v>
      </c>
      <c r="C196">
        <v>3845</v>
      </c>
      <c r="D196">
        <v>88.7</v>
      </c>
      <c r="E196">
        <v>0</v>
      </c>
      <c r="F196" s="7">
        <f>129781+(1.179*B196)+(33.5281*C196)+(2969.11*D196)+(25645.7*E196)</f>
        <v>581411.22250999999</v>
      </c>
      <c r="G196" s="7">
        <f>A196-F196</f>
        <v>-9400.0225100000389</v>
      </c>
    </row>
    <row r="197" spans="1:7">
      <c r="A197">
        <v>811771.14</v>
      </c>
      <c r="B197">
        <v>57696.69</v>
      </c>
      <c r="C197">
        <v>10218</v>
      </c>
      <c r="D197">
        <v>94.8</v>
      </c>
      <c r="E197">
        <v>0</v>
      </c>
      <c r="F197" s="7">
        <f>129781+(1.179*B197)+(33.5281*C197)+(2969.11*D197)+(25645.7*E197)</f>
        <v>821867.1513100001</v>
      </c>
      <c r="G197" s="7">
        <f>A197-F197</f>
        <v>-10096.011310000089</v>
      </c>
    </row>
    <row r="198" spans="1:7">
      <c r="A198">
        <v>635837.74</v>
      </c>
      <c r="B198">
        <v>47648.71</v>
      </c>
      <c r="C198">
        <v>5767</v>
      </c>
      <c r="D198">
        <v>89.8</v>
      </c>
      <c r="E198">
        <v>0</v>
      </c>
      <c r="F198" s="7">
        <f>129781+(1.179*B198)+(33.5281*C198)+(2969.11*D198)+(25645.7*E198)</f>
        <v>645941.45978999999</v>
      </c>
      <c r="G198" s="7">
        <f>A198-F198</f>
        <v>-10103.719790000003</v>
      </c>
    </row>
    <row r="199" spans="1:7">
      <c r="A199">
        <v>606278.30000000005</v>
      </c>
      <c r="B199">
        <v>16451.849999999999</v>
      </c>
      <c r="C199">
        <v>4678</v>
      </c>
      <c r="D199">
        <v>95.9</v>
      </c>
      <c r="E199">
        <v>1</v>
      </c>
      <c r="F199" s="7">
        <f>129781+(1.179*B199)+(33.5281*C199)+(2969.11*D199)+(25645.7*E199)</f>
        <v>616405.53194999998</v>
      </c>
      <c r="G199" s="7">
        <f>A199-F199</f>
        <v>-10127.231949999928</v>
      </c>
    </row>
    <row r="200" spans="1:7">
      <c r="A200">
        <v>621369.57999999996</v>
      </c>
      <c r="B200">
        <v>60881.01</v>
      </c>
      <c r="C200">
        <v>5410</v>
      </c>
      <c r="D200">
        <v>83.9</v>
      </c>
      <c r="E200">
        <v>0</v>
      </c>
      <c r="F200" s="7">
        <f>129781+(1.179*B200)+(33.5281*C200)+(2969.11*D200)+(25645.7*E200)</f>
        <v>632055.06079000002</v>
      </c>
      <c r="G200" s="7">
        <f>A200-F200</f>
        <v>-10685.48079000006</v>
      </c>
    </row>
    <row r="201" spans="1:7">
      <c r="A201">
        <v>825060.52</v>
      </c>
      <c r="B201">
        <v>92090.14</v>
      </c>
      <c r="C201">
        <v>9476</v>
      </c>
      <c r="D201">
        <v>94.3</v>
      </c>
      <c r="E201">
        <v>0</v>
      </c>
      <c r="F201" s="7">
        <f>129781+(1.179*B201)+(33.5281*C201)+(2969.11*D201)+(25645.7*E201)</f>
        <v>836054.62365999992</v>
      </c>
      <c r="G201" s="7">
        <f>A201-F201</f>
        <v>-10994.103659999906</v>
      </c>
    </row>
    <row r="202" spans="1:7">
      <c r="A202">
        <v>628538.30000000005</v>
      </c>
      <c r="B202">
        <v>48465.599999999999</v>
      </c>
      <c r="C202">
        <v>5759</v>
      </c>
      <c r="D202">
        <v>87.5</v>
      </c>
      <c r="E202">
        <v>0</v>
      </c>
      <c r="F202" s="7">
        <f>129781+(1.179*B202)+(33.5281*C202)+(2969.11*D202)+(25645.7*E202)</f>
        <v>639807.39529999997</v>
      </c>
      <c r="G202" s="7">
        <f>A202-F202</f>
        <v>-11269.095299999928</v>
      </c>
    </row>
    <row r="203" spans="1:7">
      <c r="A203">
        <v>491905.13</v>
      </c>
      <c r="B203">
        <v>33518.879999999997</v>
      </c>
      <c r="C203">
        <v>2121</v>
      </c>
      <c r="D203">
        <v>88.5</v>
      </c>
      <c r="E203">
        <v>0</v>
      </c>
      <c r="F203" s="7">
        <f>129781+(1.179*B203)+(33.5281*C203)+(2969.11*D203)+(25645.7*E203)</f>
        <v>503179.09461999999</v>
      </c>
      <c r="G203" s="7">
        <f>A203-F203</f>
        <v>-11273.964619999984</v>
      </c>
    </row>
    <row r="204" spans="1:7">
      <c r="A204">
        <v>761963.23</v>
      </c>
      <c r="B204">
        <v>49405.75</v>
      </c>
      <c r="C204">
        <v>9752</v>
      </c>
      <c r="D204">
        <v>87</v>
      </c>
      <c r="E204">
        <v>0</v>
      </c>
      <c r="F204" s="7">
        <f>129781+(1.179*B204)+(33.5281*C204)+(2969.11*D204)+(25645.7*E204)</f>
        <v>773308.98045000003</v>
      </c>
      <c r="G204" s="7">
        <f>A204-F204</f>
        <v>-11345.75045000005</v>
      </c>
    </row>
    <row r="205" spans="1:7">
      <c r="A205">
        <v>585937.48</v>
      </c>
      <c r="B205">
        <v>38966.589999999997</v>
      </c>
      <c r="C205">
        <v>4509</v>
      </c>
      <c r="D205">
        <v>91.1</v>
      </c>
      <c r="E205">
        <v>0</v>
      </c>
      <c r="F205" s="7">
        <f>129781+(1.179*B205)+(33.5281*C205)+(2969.11*D205)+(25645.7*E205)</f>
        <v>597386.73350999993</v>
      </c>
      <c r="G205" s="7">
        <f>A205-F205</f>
        <v>-11449.253509999951</v>
      </c>
    </row>
    <row r="206" spans="1:7">
      <c r="A206">
        <v>548103.69999999995</v>
      </c>
      <c r="B206">
        <v>40928.69</v>
      </c>
      <c r="C206">
        <v>4094</v>
      </c>
      <c r="D206">
        <v>82.4</v>
      </c>
      <c r="E206">
        <v>0</v>
      </c>
      <c r="F206" s="7">
        <f>129781+(1.179*B206)+(33.5281*C206)+(2969.11*D206)+(25645.7*E206)</f>
        <v>559954.63091000007</v>
      </c>
      <c r="G206" s="7">
        <f>A206-F206</f>
        <v>-11850.930910000112</v>
      </c>
    </row>
    <row r="207" spans="1:7">
      <c r="A207">
        <v>601568.87</v>
      </c>
      <c r="B207">
        <v>53351.7</v>
      </c>
      <c r="C207">
        <v>4259</v>
      </c>
      <c r="D207">
        <v>93.7</v>
      </c>
      <c r="E207">
        <v>0</v>
      </c>
      <c r="F207" s="7">
        <f>129781+(1.179*B207)+(33.5281*C207)+(2969.11*D207)+(25645.7*E207)</f>
        <v>613684.43920000002</v>
      </c>
      <c r="G207" s="7">
        <f>A207-F207</f>
        <v>-12115.569200000027</v>
      </c>
    </row>
    <row r="208" spans="1:7">
      <c r="A208">
        <v>591619.94999999995</v>
      </c>
      <c r="B208">
        <v>41441.93</v>
      </c>
      <c r="C208">
        <v>4865</v>
      </c>
      <c r="D208">
        <v>88.3</v>
      </c>
      <c r="E208">
        <v>0</v>
      </c>
      <c r="F208" s="7">
        <f>129781+(1.179*B208)+(33.5281*C208)+(2969.11*D208)+(25645.7*E208)</f>
        <v>603927.65497000003</v>
      </c>
      <c r="G208" s="7">
        <f>A208-F208</f>
        <v>-12307.704970000079</v>
      </c>
    </row>
    <row r="209" spans="1:7">
      <c r="A209">
        <v>811452.72</v>
      </c>
      <c r="B209">
        <v>66455.8</v>
      </c>
      <c r="C209">
        <v>10836</v>
      </c>
      <c r="D209">
        <v>85</v>
      </c>
      <c r="E209">
        <v>0</v>
      </c>
      <c r="F209" s="7">
        <f>129781+(1.179*B209)+(33.5281*C209)+(2969.11*D209)+(25645.7*E209)</f>
        <v>823817.22979999997</v>
      </c>
      <c r="G209" s="7">
        <f>A209-F209</f>
        <v>-12364.5098</v>
      </c>
    </row>
    <row r="210" spans="1:7">
      <c r="A210">
        <v>703812.99</v>
      </c>
      <c r="B210">
        <v>40647.67</v>
      </c>
      <c r="C210">
        <v>8252</v>
      </c>
      <c r="D210">
        <v>88.2</v>
      </c>
      <c r="E210">
        <v>0</v>
      </c>
      <c r="F210" s="7">
        <f>129781+(1.179*B210)+(33.5281*C210)+(2969.11*D210)+(25645.7*E210)</f>
        <v>716253.98612999998</v>
      </c>
      <c r="G210" s="7">
        <f>A210-F210</f>
        <v>-12440.996129999985</v>
      </c>
    </row>
    <row r="211" spans="1:7">
      <c r="A211">
        <v>726776.22</v>
      </c>
      <c r="B211">
        <v>81902.58</v>
      </c>
      <c r="C211">
        <v>7775</v>
      </c>
      <c r="D211">
        <v>85.2</v>
      </c>
      <c r="E211">
        <v>0</v>
      </c>
      <c r="F211" s="7">
        <f>129781+(1.179*B211)+(33.5281*C211)+(2969.11*D211)+(25645.7*E211)</f>
        <v>739993.29132000008</v>
      </c>
      <c r="G211" s="7">
        <f>A211-F211</f>
        <v>-13217.071320000105</v>
      </c>
    </row>
    <row r="212" spans="1:7">
      <c r="A212">
        <v>611924.27</v>
      </c>
      <c r="B212">
        <v>51133.43</v>
      </c>
      <c r="C212">
        <v>5150</v>
      </c>
      <c r="D212">
        <v>88.5</v>
      </c>
      <c r="E212">
        <v>0</v>
      </c>
      <c r="F212" s="7">
        <f>129781+(1.179*B212)+(33.5281*C212)+(2969.11*D212)+(25645.7*E212)</f>
        <v>625503.26396999997</v>
      </c>
      <c r="G212" s="7">
        <f>A212-F212</f>
        <v>-13578.993969999952</v>
      </c>
    </row>
    <row r="213" spans="1:7">
      <c r="A213">
        <v>946833.54</v>
      </c>
      <c r="B213">
        <v>107970.19</v>
      </c>
      <c r="C213">
        <v>12870</v>
      </c>
      <c r="D213">
        <v>91.7</v>
      </c>
      <c r="E213">
        <v>0</v>
      </c>
      <c r="F213" s="7">
        <f>129781+(1.179*B213)+(33.5281*C213)+(2969.11*D213)+(25645.7*E213)</f>
        <v>960851.88801000011</v>
      </c>
      <c r="G213" s="7">
        <f>A213-F213</f>
        <v>-14018.348010000074</v>
      </c>
    </row>
    <row r="214" spans="1:7">
      <c r="A214">
        <v>633494.21</v>
      </c>
      <c r="B214">
        <v>51056.15</v>
      </c>
      <c r="C214">
        <v>5686</v>
      </c>
      <c r="D214">
        <v>89.9</v>
      </c>
      <c r="E214">
        <v>0</v>
      </c>
      <c r="F214" s="7">
        <f>129781+(1.179*B214)+(33.5281*C214)+(2969.11*D214)+(25645.7*E214)</f>
        <v>647539.96644999995</v>
      </c>
      <c r="G214" s="7">
        <f>A214-F214</f>
        <v>-14045.756449999986</v>
      </c>
    </row>
    <row r="215" spans="1:7">
      <c r="A215">
        <v>681855.56</v>
      </c>
      <c r="B215">
        <v>71941.62</v>
      </c>
      <c r="C215">
        <v>6084</v>
      </c>
      <c r="D215">
        <v>93.7</v>
      </c>
      <c r="E215">
        <v>0</v>
      </c>
      <c r="F215" s="7">
        <f>129781+(1.179*B215)+(33.5281*C215)+(2969.11*D215)+(25645.7*E215)</f>
        <v>696790.73738000006</v>
      </c>
      <c r="G215" s="7">
        <f>A215-F215</f>
        <v>-14935.177380000008</v>
      </c>
    </row>
    <row r="216" spans="1:7">
      <c r="A216">
        <v>761122.42</v>
      </c>
      <c r="B216">
        <v>70284.06</v>
      </c>
      <c r="C216">
        <v>9109</v>
      </c>
      <c r="D216">
        <v>87</v>
      </c>
      <c r="E216">
        <v>0</v>
      </c>
      <c r="F216" s="7">
        <f>129781+(1.179*B216)+(33.5281*C216)+(2969.11*D216)+(25645.7*E216)</f>
        <v>776365.93964</v>
      </c>
      <c r="G216" s="7">
        <f>A216-F216</f>
        <v>-15243.519639999955</v>
      </c>
    </row>
    <row r="217" spans="1:7">
      <c r="A217">
        <v>706285.52</v>
      </c>
      <c r="B217">
        <v>35303.300000000003</v>
      </c>
      <c r="C217">
        <v>8789</v>
      </c>
      <c r="D217">
        <v>86.1</v>
      </c>
      <c r="E217">
        <v>0</v>
      </c>
      <c r="F217" s="7">
        <f>129781+(1.179*B217)+(33.5281*C217)+(2969.11*D217)+(25645.7*E217)</f>
        <v>721722.43259999994</v>
      </c>
      <c r="G217" s="7">
        <f>A217-F217</f>
        <v>-15436.912599999923</v>
      </c>
    </row>
    <row r="218" spans="1:7">
      <c r="A218">
        <v>607898.12</v>
      </c>
      <c r="B218">
        <v>9534.65</v>
      </c>
      <c r="C218">
        <v>6057</v>
      </c>
      <c r="D218">
        <v>94.1</v>
      </c>
      <c r="E218">
        <v>0</v>
      </c>
      <c r="F218" s="7">
        <f>129781+(1.179*B218)+(33.5281*C218)+(2969.11*D218)+(25645.7*E218)</f>
        <v>623495.30505000008</v>
      </c>
      <c r="G218" s="7">
        <f>A218-F218</f>
        <v>-15597.185050000087</v>
      </c>
    </row>
    <row r="219" spans="1:7">
      <c r="A219">
        <v>746501.09</v>
      </c>
      <c r="B219">
        <v>59909.51</v>
      </c>
      <c r="C219">
        <v>8895</v>
      </c>
      <c r="D219">
        <v>88.8</v>
      </c>
      <c r="E219">
        <v>0</v>
      </c>
      <c r="F219" s="7">
        <f>129781+(1.179*B219)+(33.5281*C219)+(2969.11*D219)+(25645.7*E219)</f>
        <v>762303.72979000001</v>
      </c>
      <c r="G219" s="7">
        <f>A219-F219</f>
        <v>-15802.639790000045</v>
      </c>
    </row>
    <row r="220" spans="1:7">
      <c r="A220">
        <v>679888.74</v>
      </c>
      <c r="B220">
        <v>21536.18</v>
      </c>
      <c r="C220">
        <v>8119</v>
      </c>
      <c r="D220">
        <v>90.4</v>
      </c>
      <c r="E220">
        <v>0</v>
      </c>
      <c r="F220" s="7">
        <f>129781+(1.179*B220)+(33.5281*C220)+(2969.11*D220)+(25645.7*E220)</f>
        <v>695794.34412000002</v>
      </c>
      <c r="G220" s="7">
        <f>A220-F220</f>
        <v>-15905.604120000033</v>
      </c>
    </row>
    <row r="221" spans="1:7">
      <c r="A221">
        <v>529075.94999999995</v>
      </c>
      <c r="B221">
        <v>70366.759999999995</v>
      </c>
      <c r="C221">
        <v>1963</v>
      </c>
      <c r="D221">
        <v>89.8</v>
      </c>
      <c r="E221">
        <v>0</v>
      </c>
      <c r="F221" s="7">
        <f>129781+(1.179*B221)+(33.5281*C221)+(2969.11*D221)+(25645.7*E221)</f>
        <v>545185.14833999996</v>
      </c>
      <c r="G221" s="7">
        <f>A221-F221</f>
        <v>-16109.198340000003</v>
      </c>
    </row>
    <row r="222" spans="1:7">
      <c r="A222">
        <v>717141.55</v>
      </c>
      <c r="B222">
        <v>51148.69</v>
      </c>
      <c r="C222">
        <v>7940</v>
      </c>
      <c r="D222">
        <v>93.3</v>
      </c>
      <c r="E222">
        <v>0</v>
      </c>
      <c r="F222" s="7">
        <f>129781+(1.179*B222)+(33.5281*C222)+(2969.11*D222)+(25645.7*E222)</f>
        <v>733316.38251000002</v>
      </c>
      <c r="G222" s="7">
        <f>A222-F222</f>
        <v>-16174.832509999978</v>
      </c>
    </row>
    <row r="223" spans="1:7">
      <c r="A223">
        <v>614024.91</v>
      </c>
      <c r="B223">
        <v>51575.68</v>
      </c>
      <c r="C223">
        <v>5329</v>
      </c>
      <c r="D223">
        <v>88.1</v>
      </c>
      <c r="E223">
        <v>0</v>
      </c>
      <c r="F223" s="7">
        <f>129781+(1.179*B223)+(33.5281*C223)+(2969.11*D223)+(25645.7*E223)</f>
        <v>630838.56261999998</v>
      </c>
      <c r="G223" s="7">
        <f>A223-F223</f>
        <v>-16813.65261999995</v>
      </c>
    </row>
    <row r="224" spans="1:7">
      <c r="A224">
        <v>702068.92</v>
      </c>
      <c r="B224">
        <v>54080.91</v>
      </c>
      <c r="C224">
        <v>7083</v>
      </c>
      <c r="D224">
        <v>97</v>
      </c>
      <c r="E224">
        <v>0</v>
      </c>
      <c r="F224" s="7">
        <f>129781+(1.179*B224)+(33.5281*C224)+(2969.11*D224)+(25645.7*E224)</f>
        <v>719025.59519000002</v>
      </c>
      <c r="G224" s="7">
        <f>A224-F224</f>
        <v>-16956.67518999998</v>
      </c>
    </row>
    <row r="225" spans="1:7">
      <c r="A225">
        <v>679731.57</v>
      </c>
      <c r="B225">
        <v>36606.51</v>
      </c>
      <c r="C225">
        <v>7671</v>
      </c>
      <c r="D225">
        <v>89.8</v>
      </c>
      <c r="E225">
        <v>0</v>
      </c>
      <c r="F225" s="7">
        <f>129781+(1.179*B225)+(33.5281*C225)+(2969.11*D225)+(25645.7*E225)</f>
        <v>696760.20839000004</v>
      </c>
      <c r="G225" s="7">
        <f>A225-F225</f>
        <v>-17028.638390000095</v>
      </c>
    </row>
    <row r="226" spans="1:7">
      <c r="A226">
        <v>785028.25</v>
      </c>
      <c r="B226">
        <v>75645.23</v>
      </c>
      <c r="C226">
        <v>9674</v>
      </c>
      <c r="D226">
        <v>87.4</v>
      </c>
      <c r="E226">
        <v>0</v>
      </c>
      <c r="F226" s="7">
        <f>129781+(1.179*B226)+(33.5281*C226)+(2969.11*D226)+(25645.7*E226)</f>
        <v>802817.77957000001</v>
      </c>
      <c r="G226" s="7">
        <f>A226-F226</f>
        <v>-17789.529570000013</v>
      </c>
    </row>
    <row r="227" spans="1:7">
      <c r="A227">
        <v>784502.68</v>
      </c>
      <c r="B227">
        <v>70040.31</v>
      </c>
      <c r="C227">
        <v>9175</v>
      </c>
      <c r="D227">
        <v>95.1</v>
      </c>
      <c r="E227">
        <v>0</v>
      </c>
      <c r="F227" s="7">
        <f>129781+(1.179*B227)+(33.5281*C227)+(2969.11*D227)+(25645.7*E227)</f>
        <v>802341.20399000007</v>
      </c>
      <c r="G227" s="7">
        <f>A227-F227</f>
        <v>-17838.523990000016</v>
      </c>
    </row>
    <row r="228" spans="1:7">
      <c r="A228">
        <v>666152.52</v>
      </c>
      <c r="B228">
        <v>48804.22</v>
      </c>
      <c r="C228">
        <v>7057</v>
      </c>
      <c r="D228">
        <v>87.7</v>
      </c>
      <c r="E228">
        <v>0</v>
      </c>
      <c r="F228" s="7">
        <f>129781+(1.179*B228)+(33.5281*C228)+(2969.11*D228)+(25645.7*E228)</f>
        <v>684319.92408000003</v>
      </c>
      <c r="G228" s="7">
        <f>A228-F228</f>
        <v>-18167.404080000008</v>
      </c>
    </row>
    <row r="229" spans="1:7">
      <c r="A229">
        <v>708985.19</v>
      </c>
      <c r="B229">
        <v>58981.91</v>
      </c>
      <c r="C229">
        <v>7324</v>
      </c>
      <c r="D229">
        <v>95.8</v>
      </c>
      <c r="E229">
        <v>0</v>
      </c>
      <c r="F229" s="7">
        <f>129781+(1.179*B229)+(33.5281*C229)+(2969.11*D229)+(25645.7*E229)</f>
        <v>729321.21429000003</v>
      </c>
      <c r="G229" s="7">
        <f>A229-F229</f>
        <v>-20336.024290000089</v>
      </c>
    </row>
    <row r="230" spans="1:7">
      <c r="A230">
        <v>622892.42000000004</v>
      </c>
      <c r="B230">
        <v>33987.33</v>
      </c>
      <c r="C230">
        <v>5014</v>
      </c>
      <c r="D230">
        <v>94.3</v>
      </c>
      <c r="E230">
        <v>1</v>
      </c>
      <c r="F230" s="7">
        <f>129781+(1.179*B230)+(33.5281*C230)+(2969.11*D230)+(25645.7*E230)</f>
        <v>643594.72846999997</v>
      </c>
      <c r="G230" s="7">
        <f>A230-F230</f>
        <v>-20702.308469999931</v>
      </c>
    </row>
    <row r="231" spans="1:7">
      <c r="A231">
        <v>666573.19999999995</v>
      </c>
      <c r="B231">
        <v>78831.12</v>
      </c>
      <c r="C231">
        <v>5538</v>
      </c>
      <c r="D231">
        <v>94.1</v>
      </c>
      <c r="E231">
        <v>0</v>
      </c>
      <c r="F231" s="7">
        <f>129781+(1.179*B231)+(33.5281*C231)+(2969.11*D231)+(25645.7*E231)</f>
        <v>687794.75928</v>
      </c>
      <c r="G231" s="7">
        <f>A231-F231</f>
        <v>-21221.559280000045</v>
      </c>
    </row>
    <row r="232" spans="1:7">
      <c r="A232">
        <v>518049.26</v>
      </c>
      <c r="B232">
        <v>19365.060000000001</v>
      </c>
      <c r="C232">
        <v>2378</v>
      </c>
      <c r="D232">
        <v>94.8</v>
      </c>
      <c r="E232">
        <v>1</v>
      </c>
      <c r="F232" s="7">
        <f>129781+(1.179*B232)+(33.5281*C232)+(2969.11*D232)+(25645.7*E232)</f>
        <v>539459.55553999997</v>
      </c>
      <c r="G232" s="7">
        <f>A232-F232</f>
        <v>-21410.295539999963</v>
      </c>
    </row>
    <row r="233" spans="1:7">
      <c r="A233">
        <v>599017.32999999996</v>
      </c>
      <c r="B233">
        <v>46174.7</v>
      </c>
      <c r="C233">
        <v>4898</v>
      </c>
      <c r="D233">
        <v>91.7</v>
      </c>
      <c r="E233">
        <v>0</v>
      </c>
      <c r="F233" s="7">
        <f>129781+(1.179*B233)+(33.5281*C233)+(2969.11*D233)+(25645.7*E233)</f>
        <v>620708.99210000015</v>
      </c>
      <c r="G233" s="7">
        <f>A233-F233</f>
        <v>-21691.662100000191</v>
      </c>
    </row>
    <row r="234" spans="1:7">
      <c r="A234">
        <v>622811.74</v>
      </c>
      <c r="B234">
        <v>46624.05</v>
      </c>
      <c r="C234">
        <v>5104</v>
      </c>
      <c r="D234">
        <v>97.3</v>
      </c>
      <c r="E234">
        <v>0</v>
      </c>
      <c r="F234" s="7">
        <f>129781+(1.179*B234)+(33.5281*C234)+(2969.11*D234)+(25645.7*E234)</f>
        <v>644772.58034999995</v>
      </c>
      <c r="G234" s="7">
        <f>A234-F234</f>
        <v>-21960.840349999955</v>
      </c>
    </row>
    <row r="235" spans="1:7">
      <c r="A235">
        <v>555557.77</v>
      </c>
      <c r="B235">
        <v>34771.26</v>
      </c>
      <c r="C235">
        <v>4355</v>
      </c>
      <c r="D235">
        <v>87.9</v>
      </c>
      <c r="E235">
        <v>0</v>
      </c>
      <c r="F235" s="7">
        <f>129781+(1.179*B235)+(33.5281*C235)+(2969.11*D235)+(25645.7*E235)</f>
        <v>577775.96004000003</v>
      </c>
      <c r="G235" s="7">
        <f>A235-F235</f>
        <v>-22218.190040000016</v>
      </c>
    </row>
    <row r="236" spans="1:7">
      <c r="A236">
        <v>761835.34</v>
      </c>
      <c r="B236">
        <v>64811.21</v>
      </c>
      <c r="C236">
        <v>9792</v>
      </c>
      <c r="D236">
        <v>84.2</v>
      </c>
      <c r="E236">
        <v>0</v>
      </c>
      <c r="F236" s="7">
        <f>129781+(1.179*B236)+(33.5281*C236)+(2969.11*D236)+(25645.7*E236)</f>
        <v>784499.63379000011</v>
      </c>
      <c r="G236" s="7">
        <f>A236-F236</f>
        <v>-22664.293790000142</v>
      </c>
    </row>
    <row r="237" spans="1:7">
      <c r="A237">
        <v>443275.59</v>
      </c>
      <c r="B237">
        <v>37705.879999999997</v>
      </c>
      <c r="C237">
        <v>1268</v>
      </c>
      <c r="D237">
        <v>84.1</v>
      </c>
      <c r="E237">
        <v>0</v>
      </c>
      <c r="F237" s="7">
        <f>129781+(1.179*B237)+(33.5281*C237)+(2969.11*D237)+(25645.7*E237)</f>
        <v>466452.01431999996</v>
      </c>
      <c r="G237" s="7">
        <f>A237-F237</f>
        <v>-23176.424319999933</v>
      </c>
    </row>
    <row r="238" spans="1:7">
      <c r="A238">
        <v>500173.02</v>
      </c>
      <c r="B238">
        <v>44970.080000000002</v>
      </c>
      <c r="C238">
        <v>2471</v>
      </c>
      <c r="D238">
        <v>87.6</v>
      </c>
      <c r="E238">
        <v>0</v>
      </c>
      <c r="F238" s="7">
        <f>129781+(1.179*B238)+(33.5281*C238)+(2969.11*D238)+(25645.7*E238)</f>
        <v>525742.69542</v>
      </c>
      <c r="G238" s="7">
        <f>A238-F238</f>
        <v>-25569.675419999985</v>
      </c>
    </row>
    <row r="239" spans="1:7">
      <c r="A239">
        <v>779010.94</v>
      </c>
      <c r="B239">
        <v>68133.440000000002</v>
      </c>
      <c r="C239">
        <v>9459</v>
      </c>
      <c r="D239">
        <v>85</v>
      </c>
      <c r="E239">
        <v>1</v>
      </c>
      <c r="F239" s="7">
        <f>129781+(1.179*B239)+(33.5281*C239)+(2969.11*D239)+(25645.7*E239)</f>
        <v>805272.67365999997</v>
      </c>
      <c r="G239" s="7">
        <f>A239-F239</f>
        <v>-26261.733660000027</v>
      </c>
    </row>
    <row r="240" spans="1:7">
      <c r="A240">
        <v>636561.34</v>
      </c>
      <c r="B240">
        <v>77999.899999999994</v>
      </c>
      <c r="C240">
        <v>5974</v>
      </c>
      <c r="D240">
        <v>81.3</v>
      </c>
      <c r="E240">
        <v>0</v>
      </c>
      <c r="F240" s="7">
        <f>129781+(1.179*B240)+(33.5281*C240)+(2969.11*D240)+(25645.7*E240)</f>
        <v>663428.39450000005</v>
      </c>
      <c r="G240" s="7">
        <f>A240-F240</f>
        <v>-26867.054500000086</v>
      </c>
    </row>
    <row r="241" spans="1:7">
      <c r="A241">
        <v>718074.79</v>
      </c>
      <c r="B241">
        <v>25990.54</v>
      </c>
      <c r="C241">
        <v>9249</v>
      </c>
      <c r="D241">
        <v>92.5</v>
      </c>
      <c r="E241">
        <v>0</v>
      </c>
      <c r="F241" s="7">
        <f>129781+(1.179*B241)+(33.5281*C241)+(2969.11*D241)+(25645.7*E241)</f>
        <v>745167.9185599999</v>
      </c>
      <c r="G241" s="7">
        <f>A241-F241</f>
        <v>-27093.128559999866</v>
      </c>
    </row>
    <row r="242" spans="1:7">
      <c r="A242">
        <v>804264</v>
      </c>
      <c r="B242">
        <v>63043.94</v>
      </c>
      <c r="C242">
        <v>10402</v>
      </c>
      <c r="D242">
        <v>93.9</v>
      </c>
      <c r="E242">
        <v>0</v>
      </c>
      <c r="F242" s="7">
        <f>129781+(1.179*B242)+(33.5281*C242)+(2969.11*D242)+(25645.7*E242)</f>
        <v>831668.53046000004</v>
      </c>
      <c r="G242" s="7">
        <f>A242-F242</f>
        <v>-27404.530460000038</v>
      </c>
    </row>
    <row r="243" spans="1:7">
      <c r="A243">
        <v>573155.18999999994</v>
      </c>
      <c r="B243">
        <v>59117.9</v>
      </c>
      <c r="C243">
        <v>4263</v>
      </c>
      <c r="D243">
        <v>87.6</v>
      </c>
      <c r="E243">
        <v>0</v>
      </c>
      <c r="F243" s="7">
        <f>129781+(1.179*B243)+(33.5281*C243)+(2969.11*D243)+(25645.7*E243)</f>
        <v>602505.33039999998</v>
      </c>
      <c r="G243" s="7">
        <f>A243-F243</f>
        <v>-29350.140400000033</v>
      </c>
    </row>
    <row r="244" spans="1:7">
      <c r="A244">
        <v>611766.72</v>
      </c>
      <c r="B244">
        <v>88443.77</v>
      </c>
      <c r="C244">
        <v>4004</v>
      </c>
      <c r="D244">
        <v>91.9</v>
      </c>
      <c r="E244">
        <v>0</v>
      </c>
      <c r="F244" s="7">
        <f>129781+(1.179*B244)+(33.5281*C244)+(2969.11*D244)+(25645.7*E244)</f>
        <v>641163.9262300001</v>
      </c>
      <c r="G244" s="7">
        <f>A244-F244</f>
        <v>-29397.206230000127</v>
      </c>
    </row>
    <row r="245" spans="1:7">
      <c r="A245">
        <v>527681.56000000006</v>
      </c>
      <c r="B245">
        <v>42932.02</v>
      </c>
      <c r="C245">
        <v>3872</v>
      </c>
      <c r="D245">
        <v>83.2</v>
      </c>
      <c r="E245">
        <v>0</v>
      </c>
      <c r="F245" s="7">
        <f>129781+(1.179*B245)+(33.5281*C245)+(2969.11*D245)+(25645.7*E245)</f>
        <v>557248.60678000003</v>
      </c>
      <c r="G245" s="7">
        <f>A245-F245</f>
        <v>-29567.046779999975</v>
      </c>
    </row>
    <row r="246" spans="1:7">
      <c r="A246">
        <v>602002.31999999995</v>
      </c>
      <c r="B246">
        <v>41863.08</v>
      </c>
      <c r="C246">
        <v>5400</v>
      </c>
      <c r="D246">
        <v>91.6</v>
      </c>
      <c r="E246">
        <v>0</v>
      </c>
      <c r="F246" s="7">
        <f>129781+(1.179*B246)+(33.5281*C246)+(2969.11*D246)+(25645.7*E246)</f>
        <v>632159.78731999989</v>
      </c>
      <c r="G246" s="7">
        <f>A246-F246</f>
        <v>-30157.467319999938</v>
      </c>
    </row>
    <row r="247" spans="1:7">
      <c r="A247">
        <v>758138.29</v>
      </c>
      <c r="B247">
        <v>68040.149999999994</v>
      </c>
      <c r="C247">
        <v>9826</v>
      </c>
      <c r="D247">
        <v>83.9</v>
      </c>
      <c r="E247">
        <v>0</v>
      </c>
      <c r="F247" s="7">
        <f>129781+(1.179*B247)+(33.5281*C247)+(2969.11*D247)+(25645.7*E247)</f>
        <v>788555.77645</v>
      </c>
      <c r="G247" s="7">
        <f>A247-F247</f>
        <v>-30417.486449999968</v>
      </c>
    </row>
    <row r="248" spans="1:7">
      <c r="A248">
        <v>546223.69999999995</v>
      </c>
      <c r="B248">
        <v>51996.32</v>
      </c>
      <c r="C248">
        <v>3834</v>
      </c>
      <c r="D248">
        <v>86.7</v>
      </c>
      <c r="E248">
        <v>0</v>
      </c>
      <c r="F248" s="7">
        <f>129781+(1.179*B248)+(33.5281*C248)+(2969.11*D248)+(25645.7*E248)</f>
        <v>577053.23368000006</v>
      </c>
      <c r="G248" s="7">
        <f>A248-F248</f>
        <v>-30829.53368000011</v>
      </c>
    </row>
    <row r="249" spans="1:7">
      <c r="A249">
        <v>479050.5</v>
      </c>
      <c r="B249">
        <v>36813.449999999997</v>
      </c>
      <c r="C249">
        <v>2834</v>
      </c>
      <c r="D249">
        <v>81.8</v>
      </c>
      <c r="E249">
        <v>0</v>
      </c>
      <c r="F249" s="7">
        <f>129781+(1.179*B249)+(33.5281*C249)+(2969.11*D249)+(25645.7*E249)</f>
        <v>511075.89095000003</v>
      </c>
      <c r="G249" s="7">
        <f>A249-F249</f>
        <v>-32025.39095000003</v>
      </c>
    </row>
    <row r="250" spans="1:7">
      <c r="A250">
        <v>557487.26</v>
      </c>
      <c r="B250">
        <v>48396.13</v>
      </c>
      <c r="C250">
        <v>4423</v>
      </c>
      <c r="D250">
        <v>85.7</v>
      </c>
      <c r="E250">
        <v>0</v>
      </c>
      <c r="F250" s="7">
        <f>129781+(1.179*B250)+(33.5281*C250)+(2969.11*D250)+(25645.7*E250)</f>
        <v>589587.55056999996</v>
      </c>
      <c r="G250" s="7">
        <f>A250-F250</f>
        <v>-32100.290569999954</v>
      </c>
    </row>
    <row r="251" spans="1:7">
      <c r="A251">
        <v>598904.9</v>
      </c>
      <c r="B251">
        <v>22312.93</v>
      </c>
      <c r="C251">
        <v>5955</v>
      </c>
      <c r="D251">
        <v>84.2</v>
      </c>
      <c r="E251">
        <v>1</v>
      </c>
      <c r="F251" s="7">
        <f>129781+(1.179*B251)+(33.5281*C251)+(2969.11*D251)+(25645.7*E251)</f>
        <v>631392.54197000002</v>
      </c>
      <c r="G251" s="7">
        <f>A251-F251</f>
        <v>-32487.641969999997</v>
      </c>
    </row>
    <row r="252" spans="1:7">
      <c r="A252">
        <v>586626.93999999994</v>
      </c>
      <c r="B252">
        <v>63101.59</v>
      </c>
      <c r="C252">
        <v>4373</v>
      </c>
      <c r="D252">
        <v>90.4</v>
      </c>
      <c r="E252">
        <v>0</v>
      </c>
      <c r="F252" s="7">
        <f>129781+(1.179*B252)+(33.5281*C252)+(2969.11*D252)+(25645.7*E252)</f>
        <v>619203.69990999997</v>
      </c>
      <c r="G252" s="7">
        <f>A252-F252</f>
        <v>-32576.759910000023</v>
      </c>
    </row>
    <row r="253" spans="1:7">
      <c r="A253">
        <v>718330.53</v>
      </c>
      <c r="B253">
        <v>61245.41</v>
      </c>
      <c r="C253">
        <v>8156</v>
      </c>
      <c r="D253">
        <v>92.9</v>
      </c>
      <c r="E253">
        <v>0</v>
      </c>
      <c r="F253" s="7">
        <f>129781+(1.179*B253)+(33.5281*C253)+(2969.11*D253)+(25645.7*E253)</f>
        <v>751274.84098999994</v>
      </c>
      <c r="G253" s="7">
        <f>A253-F253</f>
        <v>-32944.310989999911</v>
      </c>
    </row>
    <row r="254" spans="1:7">
      <c r="A254">
        <v>574066.61</v>
      </c>
      <c r="B254">
        <v>54002.83</v>
      </c>
      <c r="C254">
        <v>4366</v>
      </c>
      <c r="D254">
        <v>90.6</v>
      </c>
      <c r="E254">
        <v>0</v>
      </c>
      <c r="F254" s="7">
        <f>129781+(1.179*B254)+(33.5281*C254)+(2969.11*D254)+(25645.7*E254)</f>
        <v>608835.38717</v>
      </c>
      <c r="G254" s="7">
        <f>A254-F254</f>
        <v>-34768.777170000016</v>
      </c>
    </row>
    <row r="255" spans="1:7">
      <c r="A255">
        <v>536524.84</v>
      </c>
      <c r="B255">
        <v>23702.38</v>
      </c>
      <c r="C255">
        <v>5285</v>
      </c>
      <c r="D255">
        <v>79.7</v>
      </c>
      <c r="E255">
        <v>0</v>
      </c>
      <c r="F255" s="7">
        <f>129781+(1.179*B255)+(33.5281*C255)+(2969.11*D255)+(25645.7*E255)</f>
        <v>571560.18151999998</v>
      </c>
      <c r="G255" s="7">
        <f>A255-F255</f>
        <v>-35035.341520000016</v>
      </c>
    </row>
    <row r="256" spans="1:7">
      <c r="A256">
        <v>800979.78</v>
      </c>
      <c r="B256">
        <v>52483.77</v>
      </c>
      <c r="C256">
        <v>10453</v>
      </c>
      <c r="D256">
        <v>99</v>
      </c>
      <c r="E256">
        <v>0</v>
      </c>
      <c r="F256" s="7">
        <f>129781+(1.179*B256)+(33.5281*C256)+(2969.11*D256)+(25645.7*E256)</f>
        <v>836070.48413</v>
      </c>
      <c r="G256" s="7">
        <f>A256-F256</f>
        <v>-35090.704129999969</v>
      </c>
    </row>
    <row r="257" spans="1:7">
      <c r="A257">
        <v>500298.48</v>
      </c>
      <c r="B257">
        <v>59405.68</v>
      </c>
      <c r="C257">
        <v>2515</v>
      </c>
      <c r="D257">
        <v>76</v>
      </c>
      <c r="E257">
        <v>1</v>
      </c>
      <c r="F257" s="7">
        <f>129781+(1.179*B257)+(33.5281*C257)+(2969.11*D257)+(25645.7*E257)</f>
        <v>535441.52821999998</v>
      </c>
      <c r="G257" s="7">
        <f>A257-F257</f>
        <v>-35143.048219999997</v>
      </c>
    </row>
    <row r="258" spans="1:7">
      <c r="A258">
        <v>739831.73</v>
      </c>
      <c r="B258">
        <v>62059.18</v>
      </c>
      <c r="C258">
        <v>9374</v>
      </c>
      <c r="D258">
        <v>87.1</v>
      </c>
      <c r="E258">
        <v>0</v>
      </c>
      <c r="F258" s="7">
        <f>129781+(1.179*B258)+(33.5281*C258)+(2969.11*D258)+(25645.7*E258)</f>
        <v>775850.66362000001</v>
      </c>
      <c r="G258" s="7">
        <f>A258-F258</f>
        <v>-36018.933620000025</v>
      </c>
    </row>
    <row r="259" spans="1:7">
      <c r="A259">
        <v>487464.91</v>
      </c>
      <c r="B259">
        <v>27808.6</v>
      </c>
      <c r="C259">
        <v>2863</v>
      </c>
      <c r="D259">
        <v>89.3</v>
      </c>
      <c r="E259">
        <v>0</v>
      </c>
      <c r="F259" s="7">
        <f>129781+(1.179*B259)+(33.5281*C259)+(2969.11*D259)+(25645.7*E259)</f>
        <v>523699.81270000001</v>
      </c>
      <c r="G259" s="7">
        <f>A259-F259</f>
        <v>-36234.902700000035</v>
      </c>
    </row>
    <row r="260" spans="1:7">
      <c r="A260">
        <v>537058.32999999996</v>
      </c>
      <c r="B260">
        <v>50909.27</v>
      </c>
      <c r="C260">
        <v>3152</v>
      </c>
      <c r="D260">
        <v>93.7</v>
      </c>
      <c r="E260">
        <v>0</v>
      </c>
      <c r="F260" s="7">
        <f>129781+(1.179*B260)+(33.5281*C260)+(2969.11*D260)+(25645.7*E260)</f>
        <v>573689.20753000001</v>
      </c>
      <c r="G260" s="7">
        <f>A260-F260</f>
        <v>-36630.877530000056</v>
      </c>
    </row>
    <row r="261" spans="1:7">
      <c r="A261">
        <v>723531.4</v>
      </c>
      <c r="B261">
        <v>73540.990000000005</v>
      </c>
      <c r="C261">
        <v>8773</v>
      </c>
      <c r="D261">
        <v>84.4</v>
      </c>
      <c r="E261">
        <v>0</v>
      </c>
      <c r="F261" s="7">
        <f>129781+(1.179*B261)+(33.5281*C261)+(2969.11*D261)+(25645.7*E261)</f>
        <v>761220.73251</v>
      </c>
      <c r="G261" s="7">
        <f>A261-F261</f>
        <v>-37689.332509999978</v>
      </c>
    </row>
    <row r="262" spans="1:7">
      <c r="A262">
        <v>679230.86</v>
      </c>
      <c r="B262">
        <v>57390.04</v>
      </c>
      <c r="C262">
        <v>7374</v>
      </c>
      <c r="D262">
        <v>91.8</v>
      </c>
      <c r="E262">
        <v>0</v>
      </c>
      <c r="F262" s="7">
        <f>129781+(1.179*B262)+(33.5281*C262)+(2969.11*D262)+(25645.7*E262)</f>
        <v>717244.36456000013</v>
      </c>
      <c r="G262" s="7">
        <f>A262-F262</f>
        <v>-38013.504560000147</v>
      </c>
    </row>
    <row r="263" spans="1:7">
      <c r="A263">
        <v>578949.84</v>
      </c>
      <c r="B263">
        <v>54479.33</v>
      </c>
      <c r="C263">
        <v>5012</v>
      </c>
      <c r="D263">
        <v>86</v>
      </c>
      <c r="E263">
        <v>0</v>
      </c>
      <c r="F263" s="7">
        <f>129781+(1.179*B263)+(33.5281*C263)+(2969.11*D263)+(25645.7*E263)</f>
        <v>617398.4272700001</v>
      </c>
      <c r="G263" s="7">
        <f>A263-F263</f>
        <v>-38448.587270000135</v>
      </c>
    </row>
    <row r="264" spans="1:7">
      <c r="A264">
        <v>524899.56999999995</v>
      </c>
      <c r="B264">
        <v>45940.39</v>
      </c>
      <c r="C264">
        <v>4022</v>
      </c>
      <c r="D264">
        <v>83</v>
      </c>
      <c r="E264">
        <v>0</v>
      </c>
      <c r="F264" s="7">
        <f>129781+(1.179*B264)+(33.5281*C264)+(2969.11*D264)+(25645.7*E264)</f>
        <v>565230.86801000009</v>
      </c>
      <c r="G264" s="7">
        <f>A264-F264</f>
        <v>-40331.298010000144</v>
      </c>
    </row>
    <row r="265" spans="1:7">
      <c r="A265">
        <v>696261.49</v>
      </c>
      <c r="B265">
        <v>68909.259999999995</v>
      </c>
      <c r="C265">
        <v>7794</v>
      </c>
      <c r="D265">
        <v>89</v>
      </c>
      <c r="E265">
        <v>0</v>
      </c>
      <c r="F265" s="7">
        <f>129781+(1.179*B265)+(33.5281*C265)+(2969.11*D265)+(25645.7*E265)</f>
        <v>736593.81894000003</v>
      </c>
      <c r="G265" s="7">
        <f>A265-F265</f>
        <v>-40332.328940000036</v>
      </c>
    </row>
    <row r="266" spans="1:7">
      <c r="A266">
        <v>596969.27</v>
      </c>
      <c r="B266">
        <v>33173.949999999997</v>
      </c>
      <c r="C266">
        <v>6545</v>
      </c>
      <c r="D266">
        <v>84.4</v>
      </c>
      <c r="E266">
        <v>0</v>
      </c>
      <c r="F266" s="7">
        <f>129781+(1.179*B266)+(33.5281*C266)+(2969.11*D266)+(25645.7*E266)</f>
        <v>638927.38555000001</v>
      </c>
      <c r="G266" s="7">
        <f>A266-F266</f>
        <v>-41958.115549999988</v>
      </c>
    </row>
    <row r="267" spans="1:7">
      <c r="A267">
        <v>721364.11</v>
      </c>
      <c r="B267">
        <v>43645.98</v>
      </c>
      <c r="C267">
        <v>9480</v>
      </c>
      <c r="D267">
        <v>89</v>
      </c>
      <c r="E267">
        <v>0</v>
      </c>
      <c r="F267" s="7">
        <f>129781+(1.179*B267)+(33.5281*C267)+(2969.11*D267)+(25645.7*E267)</f>
        <v>763336.78842000011</v>
      </c>
      <c r="G267" s="7">
        <f>A267-F267</f>
        <v>-41972.678420000128</v>
      </c>
    </row>
    <row r="268" spans="1:7">
      <c r="A268">
        <v>612390.14</v>
      </c>
      <c r="B268">
        <v>36290.080000000002</v>
      </c>
      <c r="C268">
        <v>5787</v>
      </c>
      <c r="D268">
        <v>88.3</v>
      </c>
      <c r="E268">
        <v>1</v>
      </c>
      <c r="F268" s="7">
        <f>129781+(1.179*B268)+(33.5281*C268)+(2969.11*D268)+(25645.7*E268)</f>
        <v>654412.23202</v>
      </c>
      <c r="G268" s="7">
        <f>A268-F268</f>
        <v>-42022.092019999982</v>
      </c>
    </row>
    <row r="269" spans="1:7">
      <c r="A269">
        <v>723060.76</v>
      </c>
      <c r="B269">
        <v>34285.21</v>
      </c>
      <c r="C269">
        <v>9172</v>
      </c>
      <c r="D269">
        <v>88.3</v>
      </c>
      <c r="E269">
        <v>1</v>
      </c>
      <c r="F269" s="7">
        <f>129781+(1.179*B269)+(33.5281*C269)+(2969.11*D269)+(25645.7*E269)</f>
        <v>765541.10878999997</v>
      </c>
      <c r="G269" s="7">
        <f>A269-F269</f>
        <v>-42480.34878999996</v>
      </c>
    </row>
    <row r="270" spans="1:7">
      <c r="A270">
        <v>697287.9</v>
      </c>
      <c r="B270">
        <v>33605.18</v>
      </c>
      <c r="C270">
        <v>9225</v>
      </c>
      <c r="D270">
        <v>88.4</v>
      </c>
      <c r="E270">
        <v>0</v>
      </c>
      <c r="F270" s="7">
        <f>129781+(1.179*B270)+(33.5281*C270)+(2969.11*D270)+(25645.7*E270)</f>
        <v>741167.55372000008</v>
      </c>
      <c r="G270" s="7">
        <f>A270-F270</f>
        <v>-43879.65372000006</v>
      </c>
    </row>
    <row r="271" spans="1:7">
      <c r="A271">
        <v>685830.24</v>
      </c>
      <c r="B271">
        <v>61433.84</v>
      </c>
      <c r="C271">
        <v>7745</v>
      </c>
      <c r="D271">
        <v>90.5</v>
      </c>
      <c r="E271">
        <v>0</v>
      </c>
      <c r="F271" s="7">
        <f>129781+(1.179*B271)+(33.5281*C271)+(2969.11*D271)+(25645.7*E271)</f>
        <v>730591.08685999992</v>
      </c>
      <c r="G271" s="7">
        <f>A271-F271</f>
        <v>-44760.846859999932</v>
      </c>
    </row>
    <row r="272" spans="1:7">
      <c r="A272">
        <v>650795.49</v>
      </c>
      <c r="B272">
        <v>64104.28</v>
      </c>
      <c r="C272">
        <v>6015</v>
      </c>
      <c r="D272">
        <v>88.7</v>
      </c>
      <c r="E272">
        <v>1</v>
      </c>
      <c r="F272" s="7">
        <f>129781+(1.179*B272)+(33.5281*C272)+(2969.11*D272)+(25645.7*E272)</f>
        <v>696037.22461999999</v>
      </c>
      <c r="G272" s="7">
        <f>A272-F272</f>
        <v>-45241.734620000003</v>
      </c>
    </row>
    <row r="273" spans="1:7">
      <c r="A273">
        <v>688368.46</v>
      </c>
      <c r="B273">
        <v>46767.99</v>
      </c>
      <c r="C273">
        <v>7973</v>
      </c>
      <c r="D273">
        <v>94.8</v>
      </c>
      <c r="E273">
        <v>0</v>
      </c>
      <c r="F273" s="7">
        <f>129781+(1.179*B273)+(33.5281*C273)+(2969.11*D273)+(25645.7*E273)</f>
        <v>733711.62951000012</v>
      </c>
      <c r="G273" s="7">
        <f>A273-F273</f>
        <v>-45343.169510000153</v>
      </c>
    </row>
    <row r="274" spans="1:7">
      <c r="A274">
        <v>650480.06000000006</v>
      </c>
      <c r="B274">
        <v>41443.410000000003</v>
      </c>
      <c r="C274">
        <v>7455</v>
      </c>
      <c r="D274">
        <v>90.1</v>
      </c>
      <c r="E274">
        <v>0</v>
      </c>
      <c r="F274" s="7">
        <f>129781+(1.179*B274)+(33.5281*C274)+(2969.11*D274)+(25645.7*E274)</f>
        <v>696111.57689000003</v>
      </c>
      <c r="G274" s="7">
        <f>A274-F274</f>
        <v>-45631.51688999997</v>
      </c>
    </row>
    <row r="275" spans="1:7">
      <c r="A275">
        <v>559660.84</v>
      </c>
      <c r="B275">
        <v>40553.11</v>
      </c>
      <c r="C275">
        <v>5317</v>
      </c>
      <c r="D275">
        <v>84.3</v>
      </c>
      <c r="E275">
        <v>0</v>
      </c>
      <c r="F275" s="7">
        <f>129781+(1.179*B275)+(33.5281*C275)+(2969.11*D275)+(25645.7*E275)</f>
        <v>606157.99739000003</v>
      </c>
      <c r="G275" s="7">
        <f>A275-F275</f>
        <v>-46497.157390000066</v>
      </c>
    </row>
    <row r="276" spans="1:7">
      <c r="A276">
        <v>599603.4</v>
      </c>
      <c r="B276">
        <v>63630.21</v>
      </c>
      <c r="C276">
        <v>4460</v>
      </c>
      <c r="D276">
        <v>98.6</v>
      </c>
      <c r="E276">
        <v>0</v>
      </c>
      <c r="F276" s="7">
        <f>129781+(1.179*B276)+(33.5281*C276)+(2969.11*D276)+(25645.7*E276)</f>
        <v>647090.58958999999</v>
      </c>
      <c r="G276" s="7">
        <f>A276-F276</f>
        <v>-47487.189589999965</v>
      </c>
    </row>
    <row r="277" spans="1:7">
      <c r="A277">
        <v>577732.56999999995</v>
      </c>
      <c r="B277">
        <v>70488.2</v>
      </c>
      <c r="C277">
        <v>4312</v>
      </c>
      <c r="D277">
        <v>90.2</v>
      </c>
      <c r="E277">
        <v>0</v>
      </c>
      <c r="F277" s="7">
        <f>129781+(1.179*B277)+(33.5281*C277)+(2969.11*D277)+(25645.7*E277)</f>
        <v>625273.47699999996</v>
      </c>
      <c r="G277" s="7">
        <f>A277-F277</f>
        <v>-47540.907000000007</v>
      </c>
    </row>
    <row r="278" spans="1:7">
      <c r="A278">
        <v>509484.81</v>
      </c>
      <c r="B278">
        <v>43896.13</v>
      </c>
      <c r="C278">
        <v>3853</v>
      </c>
      <c r="D278">
        <v>83</v>
      </c>
      <c r="E278">
        <v>0</v>
      </c>
      <c r="F278" s="7">
        <f>129781+(1.179*B278)+(33.5281*C278)+(2969.11*D278)+(25645.7*E278)</f>
        <v>557154.43657000002</v>
      </c>
      <c r="G278" s="7">
        <f>A278-F278</f>
        <v>-47669.626570000022</v>
      </c>
    </row>
    <row r="279" spans="1:7">
      <c r="A279">
        <v>680840.36</v>
      </c>
      <c r="B279">
        <v>58749.63</v>
      </c>
      <c r="C279">
        <v>8252</v>
      </c>
      <c r="D279">
        <v>85.2</v>
      </c>
      <c r="E279">
        <v>0</v>
      </c>
      <c r="F279" s="7">
        <f>129781+(1.179*B279)+(33.5281*C279)+(2969.11*D279)+(25645.7*E279)</f>
        <v>728688.86697000009</v>
      </c>
      <c r="G279" s="7">
        <f>A279-F279</f>
        <v>-47848.506970000104</v>
      </c>
    </row>
    <row r="280" spans="1:7">
      <c r="A280">
        <v>527300.13</v>
      </c>
      <c r="B280">
        <v>70276.28</v>
      </c>
      <c r="C280">
        <v>3043</v>
      </c>
      <c r="D280">
        <v>87.9</v>
      </c>
      <c r="E280">
        <v>0</v>
      </c>
      <c r="F280" s="7">
        <f>129781+(1.179*B280)+(33.5281*C280)+(2969.11*D280)+(25645.7*E280)</f>
        <v>575647.51142000011</v>
      </c>
      <c r="G280" s="7">
        <f>A280-F280</f>
        <v>-48347.381420000107</v>
      </c>
    </row>
    <row r="281" spans="1:7">
      <c r="A281">
        <v>643428.85</v>
      </c>
      <c r="B281">
        <v>81796.740000000005</v>
      </c>
      <c r="C281">
        <v>6177</v>
      </c>
      <c r="D281">
        <v>87.9</v>
      </c>
      <c r="E281">
        <v>0</v>
      </c>
      <c r="F281" s="7">
        <f>129781+(1.179*B281)+(33.5281*C281)+(2969.11*D281)+(25645.7*E281)</f>
        <v>694307.19916000008</v>
      </c>
      <c r="G281" s="7">
        <f>A281-F281</f>
        <v>-50878.3491600001</v>
      </c>
    </row>
    <row r="282" spans="1:7">
      <c r="A282">
        <v>554012.06999999995</v>
      </c>
      <c r="B282">
        <v>54966.18</v>
      </c>
      <c r="C282">
        <v>4423</v>
      </c>
      <c r="D282">
        <v>88.7</v>
      </c>
      <c r="E282">
        <v>0</v>
      </c>
      <c r="F282" s="7">
        <f>129781+(1.179*B282)+(33.5281*C282)+(2969.11*D282)+(25645.7*E282)</f>
        <v>606240.96952000004</v>
      </c>
      <c r="G282" s="7">
        <f>A282-F282</f>
        <v>-52228.899520000094</v>
      </c>
    </row>
    <row r="283" spans="1:7">
      <c r="A283">
        <v>658832.62</v>
      </c>
      <c r="B283">
        <v>70389.11</v>
      </c>
      <c r="C283">
        <v>8302</v>
      </c>
      <c r="D283">
        <v>75</v>
      </c>
      <c r="E283">
        <v>0</v>
      </c>
      <c r="F283" s="7">
        <f>129781+(1.179*B283)+(33.5281*C283)+(2969.11*D283)+(25645.7*E283)</f>
        <v>713803.29689000011</v>
      </c>
      <c r="G283" s="7">
        <f>A283-F283</f>
        <v>-54970.676890000119</v>
      </c>
    </row>
    <row r="284" spans="1:7">
      <c r="A284">
        <v>741341.44</v>
      </c>
      <c r="B284">
        <v>48412.639999999999</v>
      </c>
      <c r="C284">
        <v>9545</v>
      </c>
      <c r="D284">
        <v>97.6</v>
      </c>
      <c r="E284">
        <v>0</v>
      </c>
      <c r="F284" s="7">
        <f>129781+(1.179*B284)+(33.5281*C284)+(2969.11*D284)+(25645.7*E284)</f>
        <v>796670.35305999999</v>
      </c>
      <c r="G284" s="7">
        <f>A284-F284</f>
        <v>-55328.91306000005</v>
      </c>
    </row>
    <row r="285" spans="1:7">
      <c r="A285">
        <v>400831.65</v>
      </c>
      <c r="B285">
        <v>22071.64</v>
      </c>
      <c r="C285">
        <v>1814</v>
      </c>
      <c r="D285">
        <v>81.099999999999994</v>
      </c>
      <c r="E285">
        <v>0</v>
      </c>
      <c r="F285" s="7">
        <f>129781+(1.179*B285)+(33.5281*C285)+(2969.11*D285)+(25645.7*E285)</f>
        <v>457418.25796000002</v>
      </c>
      <c r="G285" s="7">
        <f>A285-F285</f>
        <v>-56586.607959999994</v>
      </c>
    </row>
    <row r="286" spans="1:7">
      <c r="A286">
        <v>570963.31000000006</v>
      </c>
      <c r="B286">
        <v>37324.230000000003</v>
      </c>
      <c r="C286">
        <v>5957</v>
      </c>
      <c r="D286">
        <v>85.9</v>
      </c>
      <c r="E286">
        <v>0</v>
      </c>
      <c r="F286" s="7">
        <f>129781+(1.179*B286)+(33.5281*C286)+(2969.11*D286)+(25645.7*E286)</f>
        <v>628559.70787000004</v>
      </c>
      <c r="G286" s="7">
        <f>A286-F286</f>
        <v>-57596.397869999986</v>
      </c>
    </row>
    <row r="287" spans="1:7">
      <c r="A287">
        <v>726606.28</v>
      </c>
      <c r="B287">
        <v>55716.82</v>
      </c>
      <c r="C287">
        <v>10054</v>
      </c>
      <c r="D287">
        <v>84.9</v>
      </c>
      <c r="E287">
        <v>0</v>
      </c>
      <c r="F287" s="7">
        <f>129781+(1.179*B287)+(33.5281*C287)+(2969.11*D287)+(25645.7*E287)</f>
        <v>784640.08718000003</v>
      </c>
      <c r="G287" s="7">
        <f>A287-F287</f>
        <v>-58033.807180000003</v>
      </c>
    </row>
    <row r="288" spans="1:7">
      <c r="A288">
        <v>651164.18000000005</v>
      </c>
      <c r="B288">
        <v>60684.05</v>
      </c>
      <c r="C288">
        <v>6399</v>
      </c>
      <c r="D288">
        <v>99</v>
      </c>
      <c r="E288">
        <v>0</v>
      </c>
      <c r="F288" s="7">
        <f>129781+(1.179*B288)+(33.5281*C288)+(2969.11*D288)+(25645.7*E288)</f>
        <v>709815.69685000007</v>
      </c>
      <c r="G288" s="7">
        <f>A288-F288</f>
        <v>-58651.516850000015</v>
      </c>
    </row>
    <row r="289" spans="1:7">
      <c r="A289">
        <v>799477.76000000001</v>
      </c>
      <c r="B289">
        <v>73771.91</v>
      </c>
      <c r="C289">
        <v>11695</v>
      </c>
      <c r="D289">
        <v>84.7</v>
      </c>
      <c r="E289">
        <v>0</v>
      </c>
      <c r="F289" s="7">
        <f>129781+(1.179*B289)+(33.5281*C289)+(2969.11*D289)+(25645.7*E289)</f>
        <v>860352.82839000016</v>
      </c>
      <c r="G289" s="7">
        <f>A289-F289</f>
        <v>-60875.068390000146</v>
      </c>
    </row>
    <row r="290" spans="1:7">
      <c r="A290">
        <v>607084.92000000004</v>
      </c>
      <c r="B290">
        <v>35203.230000000003</v>
      </c>
      <c r="C290">
        <v>6896</v>
      </c>
      <c r="D290">
        <v>80.8</v>
      </c>
      <c r="E290">
        <v>1</v>
      </c>
      <c r="F290" s="7">
        <f>129781+(1.179*B290)+(33.5281*C290)+(2969.11*D290)+(25645.7*E290)</f>
        <v>668045.17376999999</v>
      </c>
      <c r="G290" s="7">
        <f>A290-F290</f>
        <v>-60960.253769999952</v>
      </c>
    </row>
    <row r="291" spans="1:7">
      <c r="A291">
        <v>671868.59</v>
      </c>
      <c r="B291">
        <v>37983.35</v>
      </c>
      <c r="C291">
        <v>9283</v>
      </c>
      <c r="D291">
        <v>83.2</v>
      </c>
      <c r="E291">
        <v>0</v>
      </c>
      <c r="F291" s="7">
        <f>129781+(1.179*B291)+(33.5281*C291)+(2969.11*D291)+(25645.7*E291)</f>
        <v>732834.67395000008</v>
      </c>
      <c r="G291" s="7">
        <f>A291-F291</f>
        <v>-60966.083950000117</v>
      </c>
    </row>
    <row r="292" spans="1:7">
      <c r="A292">
        <v>721079.35</v>
      </c>
      <c r="B292">
        <v>46495.4</v>
      </c>
      <c r="C292">
        <v>9908</v>
      </c>
      <c r="D292">
        <v>89.4</v>
      </c>
      <c r="E292">
        <v>0</v>
      </c>
      <c r="F292" s="7">
        <f>129781+(1.179*B292)+(33.5281*C292)+(2969.11*D292)+(25645.7*E292)</f>
        <v>782233.92540000007</v>
      </c>
      <c r="G292" s="7">
        <f>A292-F292</f>
        <v>-61154.575400000089</v>
      </c>
    </row>
    <row r="293" spans="1:7">
      <c r="A293">
        <v>620264.19999999995</v>
      </c>
      <c r="B293">
        <v>76614.320000000007</v>
      </c>
      <c r="C293">
        <v>5639</v>
      </c>
      <c r="D293">
        <v>92.9</v>
      </c>
      <c r="E293">
        <v>0</v>
      </c>
      <c r="F293" s="7">
        <f>129781+(1.179*B293)+(33.5281*C293)+(2969.11*D293)+(25645.7*E293)</f>
        <v>685004.55818000005</v>
      </c>
      <c r="G293" s="7">
        <f>A293-F293</f>
        <v>-64740.358180000097</v>
      </c>
    </row>
    <row r="294" spans="1:7">
      <c r="A294">
        <v>441275.42</v>
      </c>
      <c r="B294">
        <v>19063.48</v>
      </c>
      <c r="C294">
        <v>1906</v>
      </c>
      <c r="D294">
        <v>97.8</v>
      </c>
      <c r="E294">
        <v>0</v>
      </c>
      <c r="F294" s="7">
        <f>129781+(1.179*B294)+(33.5281*C294)+(2969.11*D294)+(25645.7*E294)</f>
        <v>506540.35952</v>
      </c>
      <c r="G294" s="7">
        <f>A294-F294</f>
        <v>-65264.939520000014</v>
      </c>
    </row>
    <row r="295" spans="1:7">
      <c r="A295">
        <v>725235.28</v>
      </c>
      <c r="B295">
        <v>50735.63</v>
      </c>
      <c r="C295">
        <v>9619</v>
      </c>
      <c r="D295">
        <v>93.8</v>
      </c>
      <c r="E295">
        <v>0</v>
      </c>
      <c r="F295" s="7">
        <f>129781+(1.179*B295)+(33.5281*C295)+(2969.11*D295)+(25645.7*E295)</f>
        <v>790607.61967000004</v>
      </c>
      <c r="G295" s="7">
        <f>A295-F295</f>
        <v>-65372.339670000016</v>
      </c>
    </row>
    <row r="296" spans="1:7">
      <c r="A296">
        <v>684217.32</v>
      </c>
      <c r="B296">
        <v>42415.47</v>
      </c>
      <c r="C296">
        <v>8512</v>
      </c>
      <c r="D296">
        <v>96.8</v>
      </c>
      <c r="E296">
        <v>0</v>
      </c>
      <c r="F296" s="7">
        <f>129781+(1.179*B296)+(33.5281*C296)+(2969.11*D296)+(25645.7*E296)</f>
        <v>752589.87433000002</v>
      </c>
      <c r="G296" s="7">
        <f>A296-F296</f>
        <v>-68372.554330000072</v>
      </c>
    </row>
    <row r="297" spans="1:7">
      <c r="A297">
        <v>401582.58</v>
      </c>
      <c r="B297">
        <v>24362.98</v>
      </c>
      <c r="C297">
        <v>1462</v>
      </c>
      <c r="D297">
        <v>89.3</v>
      </c>
      <c r="E297">
        <v>0</v>
      </c>
      <c r="F297" s="7">
        <f>129781+(1.179*B297)+(33.5281*C297)+(2969.11*D297)+(25645.7*E297)</f>
        <v>472664.55862000003</v>
      </c>
      <c r="G297" s="7">
        <f>A297-F297</f>
        <v>-71081.978620000009</v>
      </c>
    </row>
    <row r="298" spans="1:7">
      <c r="A298">
        <v>617291.15</v>
      </c>
      <c r="B298">
        <v>118910.48</v>
      </c>
      <c r="C298">
        <v>4022</v>
      </c>
      <c r="D298">
        <v>87.1</v>
      </c>
      <c r="E298">
        <v>1</v>
      </c>
      <c r="F298" s="7">
        <f>129781+(1.179*B298)+(33.5281*C298)+(2969.11*D298)+(25645.7*E298)</f>
        <v>689081.65512000001</v>
      </c>
      <c r="G298" s="7">
        <f>A298-F298</f>
        <v>-71790.505119999987</v>
      </c>
    </row>
    <row r="299" spans="1:7">
      <c r="A299">
        <v>630829.93999999994</v>
      </c>
      <c r="B299">
        <v>53762.92</v>
      </c>
      <c r="C299">
        <v>6821</v>
      </c>
      <c r="D299">
        <v>94.6</v>
      </c>
      <c r="E299">
        <v>0</v>
      </c>
      <c r="F299" s="7">
        <f>129781+(1.179*B299)+(33.5281*C299)+(2969.11*D299)+(25645.7*E299)</f>
        <v>702740.45877999999</v>
      </c>
      <c r="G299" s="7">
        <f>A299-F299</f>
        <v>-71910.518780000042</v>
      </c>
    </row>
    <row r="300" spans="1:7">
      <c r="A300">
        <v>553756.43000000005</v>
      </c>
      <c r="B300">
        <v>52952.12</v>
      </c>
      <c r="C300">
        <v>4377</v>
      </c>
      <c r="D300">
        <v>88.6</v>
      </c>
      <c r="E300">
        <v>1</v>
      </c>
      <c r="F300" s="7">
        <f>129781+(1.179*B300)+(33.5281*C300)+(2969.11*D300)+(25645.7*E300)</f>
        <v>627672.88917999994</v>
      </c>
      <c r="G300" s="7">
        <f>A300-F300</f>
        <v>-73916.459179999889</v>
      </c>
    </row>
    <row r="301" spans="1:7">
      <c r="A301">
        <v>673076.34</v>
      </c>
      <c r="B301">
        <v>61784.11</v>
      </c>
      <c r="C301">
        <v>8564</v>
      </c>
      <c r="D301">
        <v>87.4</v>
      </c>
      <c r="E301">
        <v>0</v>
      </c>
      <c r="F301" s="7">
        <f>129781+(1.179*B301)+(33.5281*C301)+(2969.11*D301)+(25645.7*E301)</f>
        <v>749259.32808999997</v>
      </c>
      <c r="G301" s="7">
        <f>A301-F301</f>
        <v>-76182.988089999999</v>
      </c>
    </row>
    <row r="302" spans="1:7">
      <c r="A302">
        <v>633638.03</v>
      </c>
      <c r="B302">
        <v>71320.66</v>
      </c>
      <c r="C302">
        <v>7888</v>
      </c>
      <c r="D302">
        <v>78.099999999999994</v>
      </c>
      <c r="E302">
        <v>0</v>
      </c>
      <c r="F302" s="7">
        <f>129781+(1.179*B302)+(33.5281*C302)+(2969.11*D302)+(25645.7*E302)</f>
        <v>710225.20194000006</v>
      </c>
      <c r="G302" s="7">
        <f>A302-F302</f>
        <v>-76587.171940000029</v>
      </c>
    </row>
    <row r="303" spans="1:7">
      <c r="A303">
        <v>593343</v>
      </c>
      <c r="B303">
        <v>29344.93</v>
      </c>
      <c r="C303">
        <v>7446</v>
      </c>
      <c r="D303">
        <v>86.2</v>
      </c>
      <c r="E303">
        <v>0</v>
      </c>
      <c r="F303" s="7">
        <f>129781+(1.179*B303)+(33.5281*C303)+(2969.11*D303)+(25645.7*E303)</f>
        <v>669966.18706999999</v>
      </c>
      <c r="G303" s="7">
        <f>A303-F303</f>
        <v>-76623.187069999985</v>
      </c>
    </row>
    <row r="304" spans="1:7">
      <c r="A304">
        <v>675917.63</v>
      </c>
      <c r="B304">
        <v>56413.83</v>
      </c>
      <c r="C304">
        <v>8303</v>
      </c>
      <c r="D304">
        <v>93.6</v>
      </c>
      <c r="E304">
        <v>0</v>
      </c>
      <c r="F304" s="7">
        <f>129781+(1.179*B304)+(33.5281*C304)+(2969.11*D304)+(25645.7*E304)</f>
        <v>752585.41587000003</v>
      </c>
      <c r="G304" s="7">
        <f>A304-F304</f>
        <v>-76667.785870000022</v>
      </c>
    </row>
    <row r="305" spans="1:7">
      <c r="A305">
        <v>660633.99</v>
      </c>
      <c r="B305">
        <v>48752.92</v>
      </c>
      <c r="C305">
        <v>8052</v>
      </c>
      <c r="D305">
        <v>94.9</v>
      </c>
      <c r="E305">
        <v>0</v>
      </c>
      <c r="F305" s="7">
        <f>129781+(1.179*B305)+(33.5281*C305)+(2969.11*D305)+(25645.7*E305)</f>
        <v>738997.49288000003</v>
      </c>
      <c r="G305" s="7">
        <f>A305-F305</f>
        <v>-78363.502880000044</v>
      </c>
    </row>
    <row r="306" spans="1:7">
      <c r="A306">
        <v>593637.14</v>
      </c>
      <c r="B306">
        <v>32834.480000000003</v>
      </c>
      <c r="C306">
        <v>7576</v>
      </c>
      <c r="D306">
        <v>84.1</v>
      </c>
      <c r="E306">
        <v>0</v>
      </c>
      <c r="F306" s="7">
        <f>129781+(1.179*B306)+(33.5281*C306)+(2969.11*D306)+(25645.7*E306)</f>
        <v>672203.88852000004</v>
      </c>
      <c r="G306" s="7">
        <f>A306-F306</f>
        <v>-78566.748520000023</v>
      </c>
    </row>
    <row r="307" spans="1:7">
      <c r="A307">
        <v>691288.19</v>
      </c>
      <c r="B307">
        <v>62949.7</v>
      </c>
      <c r="C307">
        <v>9458</v>
      </c>
      <c r="D307">
        <v>84.9</v>
      </c>
      <c r="E307">
        <v>0</v>
      </c>
      <c r="F307" s="7">
        <f>129781+(1.179*B307)+(33.5281*C307)+(2969.11*D307)+(25645.7*E307)</f>
        <v>773184.90510000009</v>
      </c>
      <c r="G307" s="7">
        <f>A307-F307</f>
        <v>-81896.715100000147</v>
      </c>
    </row>
    <row r="308" spans="1:7">
      <c r="A308">
        <v>634436</v>
      </c>
      <c r="B308">
        <v>43827.89</v>
      </c>
      <c r="C308">
        <v>8487</v>
      </c>
      <c r="D308">
        <v>84.4</v>
      </c>
      <c r="E308">
        <v>0</v>
      </c>
      <c r="F308" s="7">
        <f>129781+(1.179*B308)+(33.5281*C308)+(2969.11*D308)+(25645.7*E308)</f>
        <v>716599.95100999996</v>
      </c>
      <c r="G308" s="7">
        <f>A308-F308</f>
        <v>-82163.951009999961</v>
      </c>
    </row>
    <row r="309" spans="1:7">
      <c r="A309">
        <v>427917.38</v>
      </c>
      <c r="B309">
        <v>69816.350000000006</v>
      </c>
      <c r="C309">
        <v>971</v>
      </c>
      <c r="D309">
        <v>89.9</v>
      </c>
      <c r="E309">
        <v>0</v>
      </c>
      <c r="F309" s="7">
        <f>129781+(1.179*B309)+(33.5281*C309)+(2969.11*D309)+(25645.7*E309)</f>
        <v>511573.25075000001</v>
      </c>
      <c r="G309" s="7">
        <f>A309-F309</f>
        <v>-83655.870750000002</v>
      </c>
    </row>
    <row r="310" spans="1:7">
      <c r="A310">
        <v>511844.41</v>
      </c>
      <c r="B310">
        <v>68600.62</v>
      </c>
      <c r="C310">
        <v>3988</v>
      </c>
      <c r="D310">
        <v>85</v>
      </c>
      <c r="E310">
        <v>0</v>
      </c>
      <c r="F310" s="7">
        <f>129781+(1.179*B310)+(33.5281*C310)+(2969.11*D310)+(25645.7*E310)</f>
        <v>596745.54378000007</v>
      </c>
      <c r="G310" s="7">
        <f>A310-F310</f>
        <v>-84901.133780000091</v>
      </c>
    </row>
    <row r="311" spans="1:7">
      <c r="A311">
        <v>800451.94</v>
      </c>
      <c r="B311">
        <v>172415.52</v>
      </c>
      <c r="C311">
        <v>8927</v>
      </c>
      <c r="D311">
        <v>86.2</v>
      </c>
      <c r="E311">
        <v>0</v>
      </c>
      <c r="F311" s="7">
        <f>129781+(1.179*B311)+(33.5281*C311)+(2969.11*D311)+(25645.7*E311)</f>
        <v>888301.52877999994</v>
      </c>
      <c r="G311" s="7">
        <f>A311-F311</f>
        <v>-87849.588779999991</v>
      </c>
    </row>
    <row r="312" spans="1:7">
      <c r="A312">
        <v>449465.06</v>
      </c>
      <c r="B312">
        <v>41657.64</v>
      </c>
      <c r="C312">
        <v>3135</v>
      </c>
      <c r="D312">
        <v>85.4</v>
      </c>
      <c r="E312">
        <v>0</v>
      </c>
      <c r="F312" s="7">
        <f>129781+(1.179*B312)+(33.5281*C312)+(2969.11*D312)+(25645.7*E312)</f>
        <v>537567.94506000006</v>
      </c>
      <c r="G312" s="7">
        <f>A312-F312</f>
        <v>-88102.885060000059</v>
      </c>
    </row>
    <row r="313" spans="1:7">
      <c r="A313">
        <v>678722.06</v>
      </c>
      <c r="B313">
        <v>59921.75</v>
      </c>
      <c r="C313">
        <v>9113</v>
      </c>
      <c r="D313">
        <v>88</v>
      </c>
      <c r="E313">
        <v>0</v>
      </c>
      <c r="F313" s="7">
        <f>129781+(1.179*B313)+(33.5281*C313)+(2969.11*D313)+(25645.7*E313)</f>
        <v>767251.99855000002</v>
      </c>
      <c r="G313" s="7">
        <f>A313-F313</f>
        <v>-88529.938549999963</v>
      </c>
    </row>
    <row r="314" spans="1:7">
      <c r="A314">
        <v>463534.25</v>
      </c>
      <c r="B314">
        <v>53015.46</v>
      </c>
      <c r="C314">
        <v>3279</v>
      </c>
      <c r="D314">
        <v>84.3</v>
      </c>
      <c r="E314">
        <v>0</v>
      </c>
      <c r="F314" s="7">
        <f>129781+(1.179*B314)+(33.5281*C314)+(2969.11*D314)+(25645.7*E314)</f>
        <v>552520.84024000005</v>
      </c>
      <c r="G314" s="7">
        <f>A314-F314</f>
        <v>-88986.590240000049</v>
      </c>
    </row>
    <row r="315" spans="1:7">
      <c r="A315">
        <v>415721.82</v>
      </c>
      <c r="B315">
        <v>30356.28</v>
      </c>
      <c r="C315">
        <v>2822</v>
      </c>
      <c r="D315">
        <v>84.8</v>
      </c>
      <c r="E315">
        <v>0</v>
      </c>
      <c r="F315" s="7">
        <f>129781+(1.179*B315)+(33.5281*C315)+(2969.11*D315)+(25645.7*E315)</f>
        <v>511967.88032</v>
      </c>
      <c r="G315" s="7">
        <f>A315-F315</f>
        <v>-96246.06031999999</v>
      </c>
    </row>
    <row r="316" spans="1:7">
      <c r="A316">
        <v>538376</v>
      </c>
      <c r="B316">
        <v>46146.239999999998</v>
      </c>
      <c r="C316">
        <v>5804</v>
      </c>
      <c r="D316">
        <v>86.9</v>
      </c>
      <c r="E316">
        <v>0</v>
      </c>
      <c r="F316" s="7">
        <f>129781+(1.179*B316)+(33.5281*C316)+(2969.11*D316)+(25645.7*E316)</f>
        <v>636800.16836000001</v>
      </c>
      <c r="G316" s="7">
        <f>A316-F316</f>
        <v>-98424.168360000011</v>
      </c>
    </row>
    <row r="317" spans="1:7">
      <c r="A317">
        <v>627171.9</v>
      </c>
      <c r="B317">
        <v>141540.29</v>
      </c>
      <c r="C317">
        <v>5400</v>
      </c>
      <c r="D317">
        <v>87</v>
      </c>
      <c r="E317">
        <v>0</v>
      </c>
      <c r="F317" s="7">
        <f>129781+(1.179*B317)+(33.5281*C317)+(2969.11*D317)+(25645.7*E317)</f>
        <v>736021.31190999993</v>
      </c>
      <c r="G317" s="7">
        <f>A317-F317</f>
        <v>-108849.41190999991</v>
      </c>
    </row>
    <row r="318" spans="1:7">
      <c r="A318">
        <v>658920.30000000005</v>
      </c>
      <c r="B318">
        <v>56856.63</v>
      </c>
      <c r="C318">
        <v>9431</v>
      </c>
      <c r="D318">
        <v>86.9</v>
      </c>
      <c r="E318">
        <v>0</v>
      </c>
      <c r="F318" s="7">
        <f>129781+(1.179*B318)+(33.5281*C318)+(2969.11*D318)+(25645.7*E318)</f>
        <v>771034.13687000005</v>
      </c>
      <c r="G318" s="7">
        <f>A318-F318</f>
        <v>-112113.83687</v>
      </c>
    </row>
    <row r="319" spans="1:7">
      <c r="A319">
        <v>641865.03</v>
      </c>
      <c r="B319">
        <v>54597.83</v>
      </c>
      <c r="C319">
        <v>9429</v>
      </c>
      <c r="D319">
        <v>83.3</v>
      </c>
      <c r="E319">
        <v>0</v>
      </c>
      <c r="F319" s="7">
        <f>129781+(1.179*B319)+(33.5281*C319)+(2969.11*D319)+(25645.7*E319)</f>
        <v>757615.15947000007</v>
      </c>
      <c r="G319" s="7">
        <f>A319-F319</f>
        <v>-115750.12947000004</v>
      </c>
    </row>
    <row r="320" spans="1:7">
      <c r="A320">
        <v>595467.6</v>
      </c>
      <c r="B320">
        <v>138855.51</v>
      </c>
      <c r="C320">
        <v>5145</v>
      </c>
      <c r="D320">
        <v>88.2</v>
      </c>
      <c r="E320">
        <v>0</v>
      </c>
      <c r="F320" s="7">
        <f>129781+(1.179*B320)+(33.5281*C320)+(2969.11*D320)+(25645.7*E320)</f>
        <v>727869.22279000003</v>
      </c>
      <c r="G320" s="7">
        <f>A320-F320</f>
        <v>-132401.62279000005</v>
      </c>
    </row>
    <row r="321" spans="1:7">
      <c r="A321">
        <v>685379.08</v>
      </c>
      <c r="B321">
        <v>79346.100000000006</v>
      </c>
      <c r="C321">
        <v>9628</v>
      </c>
      <c r="D321">
        <v>99</v>
      </c>
      <c r="E321">
        <v>0</v>
      </c>
      <c r="F321" s="7">
        <f>129781+(1.179*B321)+(33.5281*C321)+(2969.11*D321)+(25645.7*E321)</f>
        <v>840080.48869999999</v>
      </c>
      <c r="G321" s="7">
        <f>A321-F321</f>
        <v>-154701.40870000003</v>
      </c>
    </row>
  </sheetData>
  <sortState xmlns:xlrd2="http://schemas.microsoft.com/office/spreadsheetml/2017/richdata2" ref="A2:G321">
    <sortCondition descending="1" ref="G2:G32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66A2-84B5-46AD-8F7D-65A1977EF3A0}">
  <dimension ref="A1:F4"/>
  <sheetViews>
    <sheetView tabSelected="1" workbookViewId="0">
      <selection activeCell="H4" sqref="H4"/>
    </sheetView>
  </sheetViews>
  <sheetFormatPr defaultRowHeight="14.5"/>
  <cols>
    <col min="1" max="1" width="20.54296875" customWidth="1"/>
    <col min="2" max="2" width="12.90625" customWidth="1"/>
    <col min="3" max="3" width="13.54296875" customWidth="1"/>
    <col min="5" max="6" width="16.36328125" customWidth="1"/>
  </cols>
  <sheetData>
    <row r="1" spans="1:6" ht="36" customHeight="1">
      <c r="A1" s="8" t="s">
        <v>134</v>
      </c>
      <c r="B1" s="8" t="s">
        <v>0</v>
      </c>
      <c r="C1" s="8" t="s">
        <v>135</v>
      </c>
      <c r="D1" s="8" t="s">
        <v>136</v>
      </c>
      <c r="E1" s="8" t="s">
        <v>137</v>
      </c>
      <c r="F1" s="8" t="s">
        <v>138</v>
      </c>
    </row>
    <row r="2" spans="1:6" ht="42.5" customHeight="1">
      <c r="A2" s="9" t="s">
        <v>139</v>
      </c>
      <c r="B2" s="9" t="s">
        <v>3</v>
      </c>
      <c r="C2" s="9" t="s">
        <v>1</v>
      </c>
      <c r="D2" s="9">
        <v>0.16700000000000001</v>
      </c>
      <c r="E2" s="9" t="s">
        <v>1</v>
      </c>
      <c r="F2" s="9" t="s">
        <v>140</v>
      </c>
    </row>
    <row r="3" spans="1:6" ht="72.5">
      <c r="A3" s="9" t="s">
        <v>141</v>
      </c>
      <c r="B3" s="9" t="s">
        <v>3</v>
      </c>
      <c r="C3" s="9" t="s">
        <v>2</v>
      </c>
      <c r="D3" s="9">
        <v>0.73599999999999999</v>
      </c>
      <c r="E3" s="9" t="s">
        <v>2</v>
      </c>
      <c r="F3" s="9" t="s">
        <v>142</v>
      </c>
    </row>
    <row r="4" spans="1:6" ht="80.5" customHeight="1">
      <c r="A4" s="9" t="s">
        <v>143</v>
      </c>
      <c r="B4" s="9" t="s">
        <v>3</v>
      </c>
      <c r="C4" s="9" t="s">
        <v>144</v>
      </c>
      <c r="D4" s="9">
        <v>0.80900000000000005</v>
      </c>
      <c r="E4" s="9" t="s">
        <v>144</v>
      </c>
      <c r="F4" s="9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Original_Data</vt:lpstr>
      <vt:lpstr>Cleaned_Data</vt:lpstr>
      <vt:lpstr>Dummy_Variables</vt:lpstr>
      <vt:lpstr>Simple_Regression</vt:lpstr>
      <vt:lpstr>Multiple_Regression</vt:lpstr>
      <vt:lpstr>Predictions_Residuals</vt:lpstr>
      <vt:lpstr>Model_Comparison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V Satish</dc:creator>
  <cp:lastModifiedBy>Satish C V</cp:lastModifiedBy>
  <dcterms:created xsi:type="dcterms:W3CDTF">2015-06-05T18:17:20Z</dcterms:created>
  <dcterms:modified xsi:type="dcterms:W3CDTF">2026-06-26T08:45:46Z</dcterms:modified>
</cp:coreProperties>
</file>